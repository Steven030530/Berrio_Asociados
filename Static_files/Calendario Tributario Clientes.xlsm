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d2968f8c64b6c91/Contabilidad/Berrio ^0 Asociados/Herramientas/"/>
    </mc:Choice>
  </mc:AlternateContent>
  <xr:revisionPtr revIDLastSave="97" documentId="13_ncr:1_{E9F1629E-68B9-414A-B42D-0AD5452DBBC7}" xr6:coauthVersionLast="47" xr6:coauthVersionMax="47" xr10:uidLastSave="{6B1944F9-13DE-49A7-9F7F-615DF701B373}"/>
  <bookViews>
    <workbookView xWindow="-98" yWindow="-98" windowWidth="22695" windowHeight="14476" xr2:uid="{BDF07CDB-E6E4-4C59-9C54-359071ECDC35}"/>
  </bookViews>
  <sheets>
    <sheet name="Clientes" sheetId="1" r:id="rId1"/>
    <sheet name="Conceptos" sheetId="3" state="veryHidden" r:id="rId2"/>
    <sheet name="Tabla Vencimiento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3" i="1"/>
  <c r="F4" i="1"/>
  <c r="F5" i="1"/>
  <c r="F6" i="1"/>
  <c r="F7" i="1"/>
  <c r="F8" i="1"/>
  <c r="F9" i="1"/>
  <c r="F10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J3" i="1"/>
  <c r="L3" i="1"/>
  <c r="K3" i="1"/>
  <c r="I3" i="1"/>
  <c r="H3" i="1"/>
  <c r="G20" i="2"/>
  <c r="G21" i="2" s="1"/>
  <c r="G23" i="2"/>
  <c r="G24" i="2" s="1"/>
  <c r="G25" i="2" s="1"/>
  <c r="G26" i="2" s="1"/>
  <c r="G18" i="2"/>
  <c r="G48" i="2" l="1"/>
  <c r="E48" i="2"/>
  <c r="F47" i="2"/>
  <c r="F48" i="2" s="1"/>
  <c r="C47" i="2"/>
  <c r="C48" i="2" s="1"/>
  <c r="D46" i="2"/>
  <c r="C45" i="2"/>
  <c r="B44" i="2"/>
  <c r="B45" i="2" s="1"/>
  <c r="B46" i="2" s="1"/>
  <c r="B47" i="2" s="1"/>
  <c r="G43" i="2"/>
  <c r="G44" i="2" s="1"/>
  <c r="G45" i="2" s="1"/>
  <c r="G46" i="2" s="1"/>
  <c r="F43" i="2"/>
  <c r="F44" i="2" s="1"/>
  <c r="F45" i="2" s="1"/>
  <c r="E43" i="2"/>
  <c r="E44" i="2" s="1"/>
  <c r="E45" i="2" s="1"/>
  <c r="C43" i="2"/>
  <c r="D41" i="2"/>
  <c r="D42" i="2" s="1"/>
  <c r="D43" i="2" s="1"/>
  <c r="D44" i="2" s="1"/>
  <c r="G40" i="2"/>
  <c r="G41" i="2" s="1"/>
  <c r="F40" i="2"/>
  <c r="F41" i="2" s="1"/>
  <c r="E40" i="2"/>
  <c r="C40" i="2"/>
  <c r="C41" i="2" s="1"/>
  <c r="B40" i="2"/>
  <c r="B41" i="2" s="1"/>
  <c r="B42" i="2" s="1"/>
</calcChain>
</file>

<file path=xl/sharedStrings.xml><?xml version="1.0" encoding="utf-8"?>
<sst xmlns="http://schemas.openxmlformats.org/spreadsheetml/2006/main" count="270" uniqueCount="161">
  <si>
    <t>NIT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</si>
  <si>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</si>
  <si>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</si>
  <si>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</si>
  <si>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</si>
  <si>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</si>
  <si>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</si>
  <si>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</si>
  <si>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</si>
  <si>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</si>
  <si>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</si>
  <si>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</si>
  <si>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</si>
  <si>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</si>
  <si>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</si>
  <si>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</si>
  <si>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</si>
  <si>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</si>
  <si>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</si>
  <si>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</si>
  <si>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</si>
  <si>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</si>
  <si>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0</t>
  </si>
  <si>
    <t>RETENCION EN LA FUENTE - IVA</t>
  </si>
  <si>
    <t>Periodicidad IVA</t>
  </si>
  <si>
    <t>Bimestral</t>
  </si>
  <si>
    <t>Cuatrimestral</t>
  </si>
  <si>
    <t>Regimen Renta</t>
  </si>
  <si>
    <t>Ordinario</t>
  </si>
  <si>
    <t>Tributación Simple</t>
  </si>
  <si>
    <t>Razon Social</t>
  </si>
  <si>
    <t>CALENDARIO TRIBUTARIO 2023</t>
  </si>
  <si>
    <t>Retefuente</t>
  </si>
  <si>
    <t>IVA</t>
  </si>
  <si>
    <t>Renta</t>
  </si>
  <si>
    <t>Medios</t>
  </si>
  <si>
    <t>Nit ini</t>
  </si>
  <si>
    <t>Nit Fin</t>
  </si>
  <si>
    <t>01</t>
  </si>
  <si>
    <t>05</t>
  </si>
  <si>
    <t>06</t>
  </si>
  <si>
    <t>10</t>
  </si>
  <si>
    <t>11</t>
  </si>
  <si>
    <t>15</t>
  </si>
  <si>
    <t>16</t>
  </si>
  <si>
    <t>20</t>
  </si>
  <si>
    <t>21</t>
  </si>
  <si>
    <t>25</t>
  </si>
  <si>
    <t>26</t>
  </si>
  <si>
    <t>30</t>
  </si>
  <si>
    <t>31</t>
  </si>
  <si>
    <t>35</t>
  </si>
  <si>
    <t>36</t>
  </si>
  <si>
    <t>40</t>
  </si>
  <si>
    <t>41</t>
  </si>
  <si>
    <t>45</t>
  </si>
  <si>
    <t>46</t>
  </si>
  <si>
    <t>50</t>
  </si>
  <si>
    <t>51</t>
  </si>
  <si>
    <t>55</t>
  </si>
  <si>
    <t>56</t>
  </si>
  <si>
    <t>60</t>
  </si>
  <si>
    <t>61</t>
  </si>
  <si>
    <t>65</t>
  </si>
  <si>
    <t>66</t>
  </si>
  <si>
    <t>70</t>
  </si>
  <si>
    <t>71</t>
  </si>
  <si>
    <t>75</t>
  </si>
  <si>
    <t>76</t>
  </si>
  <si>
    <t>80</t>
  </si>
  <si>
    <t>81</t>
  </si>
  <si>
    <t>85</t>
  </si>
  <si>
    <t>86</t>
  </si>
  <si>
    <t>90</t>
  </si>
  <si>
    <t>91</t>
  </si>
  <si>
    <t>95</t>
  </si>
  <si>
    <t>96</t>
  </si>
  <si>
    <t>00</t>
  </si>
  <si>
    <t>Exogena</t>
  </si>
  <si>
    <t>RENTA-MEDIOS MAGNETICOS</t>
  </si>
  <si>
    <t>Anticipo RST</t>
  </si>
  <si>
    <t>IVA Anual RST</t>
  </si>
  <si>
    <t>RST Anual</t>
  </si>
  <si>
    <t>Tipo de Entidad</t>
  </si>
  <si>
    <t>PN</t>
  </si>
  <si>
    <t>PJ</t>
  </si>
  <si>
    <t>Tipo Entidad</t>
  </si>
  <si>
    <t>ANTICIPO BIMESTRAL RÉGIMEN SIMPLE</t>
  </si>
  <si>
    <t>ENE - FEB</t>
  </si>
  <si>
    <t>MAR - ABR</t>
  </si>
  <si>
    <t>MAY - JUN</t>
  </si>
  <si>
    <t>JUL - AGO</t>
  </si>
  <si>
    <t>SEPT - OCT</t>
  </si>
  <si>
    <t>NOV - DIC</t>
  </si>
  <si>
    <t>DECLARACIÓN ANUAL UNIFICADA SIMPLE</t>
  </si>
  <si>
    <t>FECHA</t>
  </si>
  <si>
    <t>DECLARACIÓN ANUAL CONSOLIDADA IVA SIMPLE</t>
  </si>
  <si>
    <t>RENTA PERSONA NATURAL</t>
  </si>
  <si>
    <t>12</t>
  </si>
  <si>
    <t>13</t>
  </si>
  <si>
    <t>14</t>
  </si>
  <si>
    <t>17</t>
  </si>
  <si>
    <t>18</t>
  </si>
  <si>
    <t>19</t>
  </si>
  <si>
    <t>22</t>
  </si>
  <si>
    <t>23</t>
  </si>
  <si>
    <t>24</t>
  </si>
  <si>
    <t>27</t>
  </si>
  <si>
    <t>28</t>
  </si>
  <si>
    <t>29</t>
  </si>
  <si>
    <t>32</t>
  </si>
  <si>
    <t>33</t>
  </si>
  <si>
    <t>34</t>
  </si>
  <si>
    <t>37</t>
  </si>
  <si>
    <t>38</t>
  </si>
  <si>
    <t>39</t>
  </si>
  <si>
    <t>42</t>
  </si>
  <si>
    <t>43</t>
  </si>
  <si>
    <t>44</t>
  </si>
  <si>
    <t>47</t>
  </si>
  <si>
    <t>48</t>
  </si>
  <si>
    <t>49</t>
  </si>
  <si>
    <t>52</t>
  </si>
  <si>
    <t>53</t>
  </si>
  <si>
    <t>54</t>
  </si>
  <si>
    <t>57</t>
  </si>
  <si>
    <t>58</t>
  </si>
  <si>
    <t>59</t>
  </si>
  <si>
    <t>62</t>
  </si>
  <si>
    <t>63</t>
  </si>
  <si>
    <t>64</t>
  </si>
  <si>
    <t>67</t>
  </si>
  <si>
    <t>68</t>
  </si>
  <si>
    <t>69</t>
  </si>
  <si>
    <t>72</t>
  </si>
  <si>
    <t>73</t>
  </si>
  <si>
    <t>74</t>
  </si>
  <si>
    <t>77</t>
  </si>
  <si>
    <t>78</t>
  </si>
  <si>
    <t>79</t>
  </si>
  <si>
    <t>82</t>
  </si>
  <si>
    <t>83</t>
  </si>
  <si>
    <t>84</t>
  </si>
  <si>
    <t>87</t>
  </si>
  <si>
    <t>88</t>
  </si>
  <si>
    <t>89</t>
  </si>
  <si>
    <t>92</t>
  </si>
  <si>
    <t>93</t>
  </si>
  <si>
    <t>94</t>
  </si>
  <si>
    <t>97</t>
  </si>
  <si>
    <t>98</t>
  </si>
  <si>
    <t>99</t>
  </si>
  <si>
    <t>No Responsable</t>
  </si>
  <si>
    <t>CONSORCIO LAND/ENTROPIA</t>
  </si>
  <si>
    <t>CONSTRUCCIONES JUAN CARLOS ZAPATA SAS</t>
  </si>
  <si>
    <t>ELIARA CONSTRUCCIONES SAS</t>
  </si>
  <si>
    <t>ENTROPIA ARQUITECTURA ADAPTATIVA SAS</t>
  </si>
  <si>
    <t>IEO ASOCIADOS SAS</t>
  </si>
  <si>
    <t>JUAN CAMILO CANO</t>
  </si>
  <si>
    <t>LAND7 SAS</t>
  </si>
  <si>
    <t>CARLOS JAVIER PALACIOS CALLE ( NOTARIA 19 )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</si>
</sst>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d\ mmmm"/>
    <numFmt numFmtId="165" formatCode="d\ mmmm\ &quot;de&quot;\ yyyy"/>
    <numFmt numFmtId="166" formatCode="[$-240A]d&quot; &quot;mmm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Arial"/>
      <family val="2"/>
    </font>
    <font>
      <sz val="14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4"/>
      <color indexed="9"/>
      <name val="Arial"/>
      <family val="2"/>
    </font>
    <font>
      <sz val="14"/>
      <color theme="1"/>
      <name val="Arial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0"/>
      <name val="Century"/>
      <family val="1"/>
    </font>
  </fonts>
  <fills count="11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rgb="FFCCFFCD"/>
        <bgColor indexed="64"/>
      </patternFill>
    </fill>
    <fill>
      <patternFill patternType="solid">
        <fgColor rgb="FFCCFFCE"/>
        <bgColor indexed="64"/>
      </patternFill>
    </fill>
    <fill>
      <patternFill patternType="solid">
        <fgColor theme="0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1" fontId="4" fillId="0" borderId="0" applyFont="0" applyFill="0" applyBorder="0" applyAlignment="0" applyProtection="0"/>
  </cellStyleXfs>
  <cellXfs count="79">
    <xf numFmtId="0" fontId="0" fillId="0" borderId="0" xfId="0"/>
    <xf numFmtId="164" fontId="3" fillId="4" borderId="5" xfId="0" applyNumberFormat="1" applyFont="1" applyFill="1" applyBorder="1" applyAlignment="1">
      <alignment vertical="top" wrapText="1"/>
    </xf>
    <xf numFmtId="164" fontId="3" fillId="4" borderId="6" xfId="0" applyNumberFormat="1" applyFont="1" applyFill="1" applyBorder="1" applyAlignment="1">
      <alignment vertical="top" wrapText="1"/>
    </xf>
    <xf numFmtId="164" fontId="3" fillId="3" borderId="5" xfId="0" applyNumberFormat="1" applyFont="1" applyFill="1" applyBorder="1" applyAlignment="1">
      <alignment vertical="top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/>
    </xf>
    <xf numFmtId="165" fontId="3" fillId="3" borderId="5" xfId="0" applyNumberFormat="1" applyFont="1" applyFill="1" applyBorder="1" applyAlignment="1">
      <alignment vertical="top" wrapText="1"/>
    </xf>
    <xf numFmtId="164" fontId="3" fillId="4" borderId="9" xfId="0" applyNumberFormat="1" applyFont="1" applyFill="1" applyBorder="1" applyAlignment="1">
      <alignment vertical="top" wrapText="1"/>
    </xf>
    <xf numFmtId="165" fontId="3" fillId="4" borderId="9" xfId="0" applyNumberFormat="1" applyFont="1" applyFill="1" applyBorder="1" applyAlignment="1">
      <alignment vertical="top" wrapText="1"/>
    </xf>
    <xf numFmtId="165" fontId="3" fillId="4" borderId="5" xfId="0" applyNumberFormat="1" applyFont="1" applyFill="1" applyBorder="1" applyAlignment="1">
      <alignment vertical="top" wrapText="1"/>
    </xf>
    <xf numFmtId="165" fontId="3" fillId="3" borderId="1" xfId="0" applyNumberFormat="1" applyFont="1" applyFill="1" applyBorder="1" applyAlignment="1">
      <alignment vertical="top" wrapText="1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164" fontId="3" fillId="3" borderId="1" xfId="0" applyNumberFormat="1" applyFont="1" applyFill="1" applyBorder="1" applyAlignment="1">
      <alignment vertical="top" wrapText="1"/>
    </xf>
    <xf numFmtId="49" fontId="3" fillId="3" borderId="5" xfId="0" applyNumberFormat="1" applyFont="1" applyFill="1" applyBorder="1" applyAlignment="1">
      <alignment vertical="top" wrapText="1"/>
    </xf>
    <xf numFmtId="0" fontId="1" fillId="0" borderId="0" xfId="0" applyFont="1"/>
    <xf numFmtId="49" fontId="0" fillId="0" borderId="0" xfId="0" applyNumberFormat="1"/>
    <xf numFmtId="14" fontId="3" fillId="3" borderId="5" xfId="0" applyNumberFormat="1" applyFont="1" applyFill="1" applyBorder="1" applyAlignment="1">
      <alignment vertical="top" wrapText="1"/>
    </xf>
    <xf numFmtId="0" fontId="2" fillId="2" borderId="5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49" fontId="3" fillId="3" borderId="12" xfId="0" applyNumberFormat="1" applyFont="1" applyFill="1" applyBorder="1" applyAlignment="1">
      <alignment vertical="top" wrapText="1"/>
    </xf>
    <xf numFmtId="49" fontId="3" fillId="4" borderId="12" xfId="0" applyNumberFormat="1" applyFont="1" applyFill="1" applyBorder="1" applyAlignment="1">
      <alignment vertical="top" wrapText="1"/>
    </xf>
    <xf numFmtId="49" fontId="3" fillId="4" borderId="13" xfId="0" applyNumberFormat="1" applyFont="1" applyFill="1" applyBorder="1" applyAlignment="1">
      <alignment vertical="top" wrapText="1"/>
    </xf>
    <xf numFmtId="0" fontId="5" fillId="7" borderId="18" xfId="0" applyFont="1" applyFill="1" applyBorder="1" applyAlignment="1">
      <alignment horizontal="center" vertical="center" wrapText="1"/>
    </xf>
    <xf numFmtId="0" fontId="5" fillId="7" borderId="19" xfId="0" applyFont="1" applyFill="1" applyBorder="1" applyAlignment="1">
      <alignment horizontal="center" vertical="center" wrapText="1"/>
    </xf>
    <xf numFmtId="164" fontId="3" fillId="3" borderId="21" xfId="0" applyNumberFormat="1" applyFont="1" applyFill="1" applyBorder="1" applyAlignment="1">
      <alignment horizontal="center" vertical="center" wrapText="1"/>
    </xf>
    <xf numFmtId="164" fontId="3" fillId="8" borderId="21" xfId="0" applyNumberFormat="1" applyFont="1" applyFill="1" applyBorder="1" applyAlignment="1">
      <alignment horizontal="center" vertical="center" wrapText="1"/>
    </xf>
    <xf numFmtId="164" fontId="3" fillId="3" borderId="23" xfId="0" applyNumberFormat="1" applyFont="1" applyFill="1" applyBorder="1" applyAlignment="1">
      <alignment horizontal="center" vertical="center" wrapText="1"/>
    </xf>
    <xf numFmtId="49" fontId="3" fillId="3" borderId="20" xfId="0" applyNumberFormat="1" applyFont="1" applyFill="1" applyBorder="1" applyAlignment="1">
      <alignment horizontal="center" vertical="center" wrapText="1"/>
    </xf>
    <xf numFmtId="49" fontId="3" fillId="8" borderId="20" xfId="0" applyNumberFormat="1" applyFont="1" applyFill="1" applyBorder="1" applyAlignment="1">
      <alignment horizontal="center" vertical="center" wrapText="1"/>
    </xf>
    <xf numFmtId="49" fontId="3" fillId="3" borderId="22" xfId="0" applyNumberFormat="1" applyFont="1" applyFill="1" applyBorder="1" applyAlignment="1">
      <alignment horizontal="center" vertical="center" wrapText="1"/>
    </xf>
    <xf numFmtId="164" fontId="3" fillId="3" borderId="1" xfId="0" applyNumberFormat="1" applyFont="1" applyFill="1" applyBorder="1" applyAlignment="1">
      <alignment vertical="center" wrapText="1"/>
    </xf>
    <xf numFmtId="164" fontId="3" fillId="3" borderId="29" xfId="0" applyNumberFormat="1" applyFont="1" applyFill="1" applyBorder="1" applyAlignment="1">
      <alignment vertical="center" wrapText="1"/>
    </xf>
    <xf numFmtId="164" fontId="3" fillId="3" borderId="5" xfId="0" applyNumberFormat="1" applyFont="1" applyFill="1" applyBorder="1" applyAlignment="1">
      <alignment vertical="center" wrapText="1"/>
    </xf>
    <xf numFmtId="49" fontId="3" fillId="3" borderId="11" xfId="0" applyNumberFormat="1" applyFont="1" applyFill="1" applyBorder="1" applyAlignment="1">
      <alignment vertical="center" wrapText="1"/>
    </xf>
    <xf numFmtId="49" fontId="3" fillId="8" borderId="12" xfId="0" applyNumberFormat="1" applyFont="1" applyFill="1" applyBorder="1" applyAlignment="1">
      <alignment vertical="center" wrapText="1"/>
    </xf>
    <xf numFmtId="49" fontId="3" fillId="3" borderId="12" xfId="0" applyNumberFormat="1" applyFont="1" applyFill="1" applyBorder="1" applyAlignment="1">
      <alignment vertical="center" wrapText="1"/>
    </xf>
    <xf numFmtId="49" fontId="3" fillId="3" borderId="28" xfId="0" applyNumberFormat="1" applyFont="1" applyFill="1" applyBorder="1" applyAlignment="1">
      <alignment vertical="center" wrapText="1"/>
    </xf>
    <xf numFmtId="49" fontId="3" fillId="8" borderId="5" xfId="0" applyNumberFormat="1" applyFont="1" applyFill="1" applyBorder="1" applyAlignment="1">
      <alignment vertical="center" wrapText="1"/>
    </xf>
    <xf numFmtId="49" fontId="3" fillId="3" borderId="5" xfId="0" applyNumberFormat="1" applyFont="1" applyFill="1" applyBorder="1" applyAlignment="1">
      <alignment vertical="center" wrapText="1"/>
    </xf>
    <xf numFmtId="166" fontId="6" fillId="3" borderId="5" xfId="0" applyNumberFormat="1" applyFont="1" applyFill="1" applyBorder="1" applyAlignment="1">
      <alignment vertical="center" wrapText="1"/>
    </xf>
    <xf numFmtId="166" fontId="6" fillId="4" borderId="5" xfId="0" applyNumberFormat="1" applyFont="1" applyFill="1" applyBorder="1" applyAlignment="1">
      <alignment vertical="center"/>
    </xf>
    <xf numFmtId="49" fontId="3" fillId="3" borderId="5" xfId="1" applyNumberFormat="1" applyFont="1" applyFill="1" applyBorder="1" applyAlignment="1">
      <alignment horizontal="center" vertical="center"/>
    </xf>
    <xf numFmtId="49" fontId="3" fillId="3" borderId="5" xfId="1" applyNumberFormat="1" applyFont="1" applyFill="1" applyBorder="1" applyAlignment="1">
      <alignment horizontal="center" vertical="center" wrapText="1"/>
    </xf>
    <xf numFmtId="49" fontId="3" fillId="3" borderId="5" xfId="0" applyNumberFormat="1" applyFont="1" applyFill="1" applyBorder="1" applyAlignment="1">
      <alignment horizontal="center" vertical="center" wrapText="1"/>
    </xf>
    <xf numFmtId="49" fontId="3" fillId="4" borderId="5" xfId="1" applyNumberFormat="1" applyFont="1" applyFill="1" applyBorder="1" applyAlignment="1">
      <alignment horizontal="center" vertical="center"/>
    </xf>
    <xf numFmtId="49" fontId="3" fillId="9" borderId="5" xfId="1" applyNumberFormat="1" applyFont="1" applyFill="1" applyBorder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0" fillId="10" borderId="0" xfId="0" applyFill="1" applyProtection="1">
      <protection locked="0"/>
    </xf>
    <xf numFmtId="0" fontId="8" fillId="0" borderId="5" xfId="0" applyFont="1" applyBorder="1" applyAlignment="1" applyProtection="1">
      <alignment horizontal="center"/>
      <protection locked="0"/>
    </xf>
    <xf numFmtId="0" fontId="1" fillId="10" borderId="0" xfId="0" applyFont="1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14" fontId="0" fillId="10" borderId="5" xfId="0" applyNumberFormat="1" applyFill="1" applyBorder="1" applyAlignment="1" applyProtection="1">
      <alignment horizont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8" fillId="0" borderId="5" xfId="0" applyFont="1" applyBorder="1" applyAlignment="1" applyProtection="1">
      <alignment horizontal="center"/>
      <protection hidden="1"/>
    </xf>
    <xf numFmtId="14" fontId="0" fillId="0" borderId="5" xfId="0" applyNumberFormat="1" applyBorder="1" applyAlignment="1" applyProtection="1">
      <alignment horizontal="center"/>
      <protection hidden="1"/>
    </xf>
    <xf numFmtId="14" fontId="7" fillId="0" borderId="5" xfId="0" applyNumberFormat="1" applyFont="1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9" fillId="5" borderId="5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30" xfId="0" applyFont="1" applyFill="1" applyBorder="1" applyAlignment="1">
      <alignment horizontal="center" vertical="center" wrapText="1"/>
    </xf>
    <xf numFmtId="0" fontId="5" fillId="7" borderId="29" xfId="0" applyFont="1" applyFill="1" applyBorder="1" applyAlignment="1">
      <alignment horizontal="center" vertical="center" wrapText="1"/>
    </xf>
    <xf numFmtId="0" fontId="5" fillId="7" borderId="31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6" borderId="25" xfId="0" applyFont="1" applyFill="1" applyBorder="1" applyAlignment="1">
      <alignment horizontal="center" vertical="center" wrapText="1"/>
    </xf>
    <xf numFmtId="0" fontId="5" fillId="7" borderId="26" xfId="0" applyFont="1" applyFill="1" applyBorder="1" applyAlignment="1">
      <alignment horizontal="center" vertical="center" wrapText="1"/>
    </xf>
    <xf numFmtId="0" fontId="5" fillId="7" borderId="27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</cellXfs>
  <cellStyles count="2">
    <cellStyle name="Millares [0]" xfId="1" builtinId="6"/>
    <cellStyle name="Normal" xfId="0" builtinId="0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</dxf>
    <dxf>
      <font>
        <strike val="0"/>
        <color theme="0"/>
      </font>
      <numFmt numFmtId="0" formatCode="General"/>
      <fill>
        <patternFill>
          <bgColor theme="0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CF9BB-4380-4BC3-9847-A1B75C9ACC00}">
  <sheetPr codeName="Hoja1"/>
  <dimension ref="A1:N54"/>
  <sheetViews>
    <sheetView tabSelected="1" workbookViewId="0">
      <selection activeCell="F4" sqref="F4"/>
    </sheetView>
  </sheetViews>
  <sheetFormatPr baseColWidth="10" defaultRowHeight="14.25" x14ac:dyDescent="0.45"/>
  <cols>
    <col min="1" max="1" width="22.3984375" style="54" customWidth="1"/>
    <col min="2" max="2" width="39.3984375" style="54" customWidth="1"/>
    <col min="3" max="3" width="17.86328125" style="54" bestFit="1" customWidth="1"/>
    <col min="4" max="4" width="17.73046875" style="54" bestFit="1" customWidth="1"/>
    <col min="5" max="5" width="17.73046875" style="54" customWidth="1"/>
    <col min="6" max="6" width="15.265625" style="54" customWidth="1"/>
    <col min="7" max="9" width="17.1328125" style="54" customWidth="1"/>
    <col min="10" max="11" width="15.59765625" style="54" customWidth="1"/>
    <col min="12" max="12" width="15.86328125" style="54" customWidth="1"/>
    <col min="13" max="16384" width="10.6640625" style="49"/>
  </cols>
  <sheetData>
    <row r="1" spans="1:14" ht="49.9" customHeight="1" x14ac:dyDescent="1.1000000000000001">
      <c r="A1" s="59" t="s">
        <v>31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</row>
    <row r="2" spans="1:14" s="51" customFormat="1" ht="18" x14ac:dyDescent="0.55000000000000004">
      <c r="A2" s="50" t="s">
        <v>0</v>
      </c>
      <c r="B2" s="50" t="s">
        <v>30</v>
      </c>
      <c r="C2" s="50" t="s">
        <v>24</v>
      </c>
      <c r="D2" s="50" t="s">
        <v>27</v>
      </c>
      <c r="E2" s="50" t="s">
        <v>86</v>
      </c>
      <c r="F2" s="55" t="s">
        <v>32</v>
      </c>
      <c r="G2" s="55" t="s">
        <v>33</v>
      </c>
      <c r="H2" s="55" t="s">
        <v>81</v>
      </c>
      <c r="I2" s="55" t="s">
        <v>80</v>
      </c>
      <c r="J2" s="55" t="s">
        <v>34</v>
      </c>
      <c r="K2" s="55" t="s">
        <v>82</v>
      </c>
      <c r="L2" s="55" t="s">
        <v>35</v>
      </c>
    </row>
    <row r="3" spans="1:14" x14ac:dyDescent="0.45">
      <c r="A3" s="52">
        <v>901666155</v>
      </c>
      <c r="B3" s="52" t="s">
        <v>153</v>
      </c>
      <c r="C3" s="52" t="s">
        <v>25</v>
      </c>
      <c r="D3" s="52" t="s">
        <v>28</v>
      </c>
      <c r="E3" s="52" t="s">
        <v>85</v>
      </c>
      <c r="F3" s="56" t="b">
        <f ca="1">IFERROR(+IF(MONTH(TODAY())=2,VLOOKUP(RIGHT(A3,1),'Tabla Vencimiento'!$A$3:$B$12,2,IF(MONTH(TODAY())=3,VLOOKUP(RIGHT(A3,1),'Tabla Vencimiento'!$A$3:$D$12,3),IF(MONTH(TODAY())=4,VLOOKUP(RIGHT(A3,1),'Tabla Vencimiento'!$A$3:$D$12,4),IF(MONTH(TODAY())=5,VLOOKUP(RIGHT(A3,1),'Tabla Vencimiento'!$A$3:$E$12,5,0),IF(MONTH(TODAY())=6,VLOOKUP(RIGHT(A3,1),'Tabla Vencimiento'!$A$3:$F$12,6),IF(MONTH(TODAY())=7,VLOOKUP(RIGHT(A3,1),'Tabla Vencimiento'!$A$3:$G$12,7),IF(MONTH(TODAY())=8,VLOOKUP(RIGHT(A3,1),'Tabla Vencimiento'!$A$3:$H$12,8),IF(MONTH(TODAY())=9,VLOOKUP(RIGHT(A3,1),'Tabla Vencimiento'!$A$3:$I$12,9),IF(MONTH(TODAY())=10,VLOOKUP(RIGHT(A3,1),'Tabla Vencimiento'!$A$3:$J$12,10),IF(MONTH(TODAY())=11,VLOOKUP(RIGHT(A3,1),'Tabla Vencimiento'!$A$3:$K$12,11),IF(MONTH(TODAY())=12,VLOOKUP(RIGHT(A3,1),'Tabla Vencimiento'!$A$3:$L$12,12),0)))))))))))),0)</f>
        <v>0</v>
      </c>
      <c r="G3" s="56">
        <f ca="1">IFERROR(+IF(C3="No Responsable", 0,+IF(D3="Tributación Simple", 0,+IF(AND(C3="Bimestral",MONTH(TODAY())-1&lt;=2),VLOOKUP(RIGHT(A3,1),'Tabla Vencimiento'!$A$3:$C$12,3,0),IF(AND(C3="Bimestral",MONTH(TODAY())-1&lt;=4),VLOOKUP(RIGHT(A3,1),'Tabla Vencimiento'!$A$3:$E$12,5,0),IF(AND(C3="Bimestral",MONTH(TODAY())-1&lt;=6),VLOOKUP(RIGHT(A3,1),'Tabla Vencimiento'!$A$3:$G$12,7,0),IF(AND(C3="Bimestral",MONTH(TODAY())-1&lt;=8),VLOOKUP(RIGHT(A3,1),'Tabla Vencimiento'!$A$3:$I$12,9,0),IF(AND(C3="Bimestral",MONTH(TODAY())-1=10),VLOOKUP(RIGHT(A3,1),'Tabla Vencimiento'!$A$3:$K$12,11,0),IF(AND(C3="Bimestral",MONTH(TODAY())-1&lt;=12),VLOOKUP(RIGHT(A3,1),'Tabla Vencimiento'!$A$3:$M$12,13,0),IF(AND(C3="Cuatrimestral",MONTH(TODAY())-1&lt;=4),VLOOKUP(RIGHT(A3,1),'Tabla Vencimiento'!$A$3:$E$12,5,0),IF(AND(C3="Cuatrimestral",MONTH(TODAY())-1&lt;=8),VLOOKUP(RIGHT(A3,1),'Tabla Vencimiento'!$A$3:$I$12,9,0),IF(AND(C3="Cuatrimestral",MONTH(TODAY())-1&lt;=12),VLOOKUP(RIGHT(A3,1),'Tabla Vencimiento'!$A$3:$M$12,13,0),0))))))))))),0)</f>
        <v>45061</v>
      </c>
      <c r="H3" s="57">
        <f ca="1">+IF(AND(D3="Tributación Simple",MONTH(TODAY())=2),VLOOKUP(RIGHT(A3,1),'Tabla Vencimiento'!$I$17:$J$26,2,0),0)</f>
        <v>0</v>
      </c>
      <c r="I3" s="56">
        <f ca="1">+IF(AND(D3="Tributación Simple",MONTH(TODAY())=2),VLOOKUP(RIGHT(A3,1),'Tabla Vencimiento'!$A$39:$G$48,2,0),+IF(AND(D3="Tributación Simple",MONTH(TODAY())=4),VLOOKUP(RIGHT(A3,1),'Tabla Vencimiento'!$A$39:$G$48,3,0),+IF(AND(D3="Tributación Simple",MONTH(TODAY())=6),VLOOKUP(RIGHT(A3,1),'Tabla Vencimiento'!$A$39:$G$48,4,0),+IF(AND(D3="Tributación Simple",MONTH(TODAY())=8),VLOOKUP(RIGHT(A3,1),'Tabla Vencimiento'!$A$39:$G$48,5,0),+IF(AND(D3="Tributación Simple",MONTH(TODAY())=10),VLOOKUP(RIGHT(A3,1),'Tabla Vencimiento'!$A$39:$G$48,6,0),+IF(AND(D3="Tributación Simple",MONTH(TODAY())=12),VLOOKUP(RIGHT(A3,1),'Tabla Vencimiento'!$A$39:$G$48,7,0),0))))))</f>
        <v>0</v>
      </c>
      <c r="J3" s="56">
        <f>+IF(AND(D3="Ordinario",E3="PN"),VLOOKUP(RIGHT(A3,2),'Tabla Vencimiento'!$I$40:$J$139,2,0),+IF(AND(D3="Ordinario",E3="PN"),VLOOKUP(RIGHT(A3,2),'Tabla Vencimiento'!$J$40:$J$139,2,0),+IF(AND(D3="Tributación Simple",E3="PN"),0,+IF(AND(D3="Tributación Simple",E3="PJ"),0,+IF(AND(RIGHT(A3,2)&gt;='Tabla Vencimiento'!$A$16,RIGHT(A3,2)&lt;='Tabla Vencimiento'!$B$16),'Tabla Vencimiento'!$C$16,IF(AND(RIGHT(A3,2)&gt;='Tabla Vencimiento'!$A$17,RIGHT(A3,2)&lt;='Tabla Vencimiento'!$B$17),'Tabla Vencimiento'!$C$17,IF(AND(RIGHT(A3,2)&gt;='Tabla Vencimiento'!$A$18,RIGHT(A3,2)&lt;='Tabla Vencimiento'!$B$18),'Tabla Vencimiento'!$C$18,IF(AND(RIGHT(A3,2)&gt;='Tabla Vencimiento'!$A$19,RIGHT(A3,2)&lt;='Tabla Vencimiento'!$B$19),'Tabla Vencimiento'!$C$19,IF(AND(RIGHT(A3,2)&gt;='Tabla Vencimiento'!$A$20,RIGHT(A3,2)&lt;='Tabla Vencimiento'!$B$20),'Tabla Vencimiento'!$C$20,IF(AND(RIGHT(A3,2)&gt;='Tabla Vencimiento'!$A$21,RIGHT(A3,2)&lt;='Tabla Vencimiento'!$B$21),'Tabla Vencimiento'!$C$21,IF(AND(RIGHT(A3,2)&gt;='Tabla Vencimiento'!$A$22,RIGHT(A3,2)&lt;='Tabla Vencimiento'!$B$22),'Tabla Vencimiento'!$C$22,IF(AND(RIGHT(A3,2)&gt;='Tabla Vencimiento'!$A$23,RIGHT(A3,2)&lt;='Tabla Vencimiento'!$B$23),'Tabla Vencimiento'!$C$23,IF(AND(RIGHT(A3,2)&gt;='Tabla Vencimiento'!$A$24,RIGHT(A3,2)&lt;='Tabla Vencimiento'!$B$24),'Tabla Vencimiento'!$C$24,IF(AND(RIGHT(A3,2)&gt;='Tabla Vencimiento'!$A$25,RIGHT(A3,2)&lt;='Tabla Vencimiento'!$B$25),'Tabla Vencimiento'!$C$25,IF(AND(RIGHT(A3,2)&gt;='Tabla Vencimiento'!$A$26,RIGHT(A3,2)&lt;='Tabla Vencimiento'!$B$26),'Tabla Vencimiento'!$C$26,IF(AND(RIGHT(A3,2)&gt;='Tabla Vencimiento'!$A$27,RIGHT(A3,2)&lt;='Tabla Vencimiento'!$B$27),'Tabla Vencimiento'!$C$27,IF(AND(RIGHT(A3,2)&gt;='Tabla Vencimiento'!$A$28,RIGHT(A3,2)&lt;='Tabla Vencimiento'!$B$28),'Tabla Vencimiento'!$C$28,IF(AND(RIGHT(A3,2)&gt;='Tabla Vencimiento'!$A$29,RIGHT(A3,2)&lt;='Tabla Vencimiento'!$B$29),'Tabla Vencimiento'!$C$29,IF(AND(RIGHT(A3,2)&gt;='Tabla Vencimiento'!$A$30,RIGHT(A3,2)&lt;='Tabla Vencimiento'!$B$30),'Tabla Vencimiento'!$C$30,IF(AND(RIGHT(A3,2)&gt;='Tabla Vencimiento'!$A$31,RIGHT(A3,2)&lt;='Tabla Vencimiento'!$B$31),'Tabla Vencimiento'!$C$31,IF(AND(RIGHT(A3,2)&gt;='Tabla Vencimiento'!$A$32,RIGHT(A3,2)&lt;='Tabla Vencimiento'!$B$32),'Tabla Vencimiento'!$C$32,IF(AND(RIGHT(A3,2)&gt;='Tabla Vencimiento'!$A$33,RIGHT(A3,2)&lt;='Tabla Vencimiento'!$B$33),'Tabla Vencimiento'!$C$33,IF(AND(RIGHT(A3,2)&gt;='Tabla Vencimiento'!$A$34,RIGHT(A3,2)&lt;='Tabla Vencimiento'!$B$34),'Tabla Vencimiento'!$C$34,IF(AND(RIGHT(A3,2)&gt;='Tabla Vencimiento'!$A$35),'Tabla Vencimiento'!$C$35,0))))))))))))))))))))))))</f>
        <v>45040</v>
      </c>
      <c r="K3" s="56">
        <f>+IF((D3="Tributación Simple"),VLOOKUP(RIGHT(A3,1),'Tabla Vencimiento'!$F$17:$G$26,2,0),0)</f>
        <v>0</v>
      </c>
      <c r="L3" s="56">
        <f>+IF(AND(RIGHT(A3,2) &gt;='Tabla Vencimiento'!$A$16,RIGHT(A3,2) &lt;='Tabla Vencimiento'!$B$16),'Tabla Vencimiento'!$D$16,IF(AND(RIGHT(A3,2) &gt;='Tabla Vencimiento'!$A$17,RIGHT(A3,2) &lt;='Tabla Vencimiento'!$B$17),'Tabla Vencimiento'!$D$17,IF(AND(RIGHT(A3,2) &gt;='Tabla Vencimiento'!$A$18,RIGHT(A3,2) &lt;='Tabla Vencimiento'!$B$18),'Tabla Vencimiento'!$D$18,IF(AND(RIGHT(A3,2) &gt;='Tabla Vencimiento'!$A$19,RIGHT(A3,2) &lt;='Tabla Vencimiento'!$B$19),'Tabla Vencimiento'!$D$19,IF(AND(RIGHT(A3,2) &gt;='Tabla Vencimiento'!$A$20,RIGHT(A3,2) &lt;='Tabla Vencimiento'!$B$20),'Tabla Vencimiento'!$D$20,IF(AND(RIGHT(A3,2) &gt;='Tabla Vencimiento'!$A$21,RIGHT(A3,2) &lt;='Tabla Vencimiento'!$B$21),'Tabla Vencimiento'!$D$21,IF(AND(RIGHT(A3,2) &gt;='Tabla Vencimiento'!$A$22,RIGHT(A3,2) &lt;='Tabla Vencimiento'!$B$22),'Tabla Vencimiento'!$D$22,IF(AND(RIGHT(A3,2) &gt;='Tabla Vencimiento'!$A$23,RIGHT(A3,2) &lt;='Tabla Vencimiento'!$B$23),'Tabla Vencimiento'!$D$23,IF(AND(RIGHT(A3,2) &gt;='Tabla Vencimiento'!$A$24,RIGHT(A3,2) &lt;='Tabla Vencimiento'!$B$24),'Tabla Vencimiento'!$D$24,IF(AND(RIGHT(A3,2) &gt;='Tabla Vencimiento'!$A$25,RIGHT(A3,2) &lt;='Tabla Vencimiento'!$B$25),'Tabla Vencimiento'!$D$25,IF(AND(RIGHT(A3,2) &gt;='Tabla Vencimiento'!$A$26,RIGHT(A3,2) &lt;='Tabla Vencimiento'!$B$26),'Tabla Vencimiento'!$D$26,IF(AND(RIGHT(A3,2) &gt;='Tabla Vencimiento'!$A$27,RIGHT(A3,2) &lt;='Tabla Vencimiento'!$B$27),'Tabla Vencimiento'!$D$27,IF(AND(RIGHT(A3,2) &gt;='Tabla Vencimiento'!$A$28,RIGHT(A3,2) &lt;='Tabla Vencimiento'!$B$28),'Tabla Vencimiento'!$D$28,IF(AND(RIGHT(A3,2) &gt;='Tabla Vencimiento'!$A$29,RIGHT(A3,2) &lt;='Tabla Vencimiento'!$B$29),'Tabla Vencimiento'!$D$29,IF(AND(RIGHT(A3,2) &gt;='Tabla Vencimiento'!$A$30,RIGHT(A3,2) &lt;='Tabla Vencimiento'!$B$30),'Tabla Vencimiento'!$D$30,IF(AND(RIGHT(A3,2) &gt;='Tabla Vencimiento'!$A$31,RIGHT(A3,2) &lt;='Tabla Vencimiento'!$B$31),'Tabla Vencimiento'!$D$31,IF(AND(RIGHT(A3,2) &gt;='Tabla Vencimiento'!$A$32,RIGHT(A3,2) &lt;='Tabla Vencimiento'!$B$32),'Tabla Vencimiento'!$D$32,IF(AND(RIGHT(A3,2) &gt;='Tabla Vencimiento'!$A$33,RIGHT(A3,2) &lt;='Tabla Vencimiento'!$B$33),'Tabla Vencimiento'!$D$33,IF(AND(RIGHT(A3,2) &gt;='Tabla Vencimiento'!$A$34,RIGHT(A3,2) &lt;='Tabla Vencimiento'!$B$34),'Tabla Vencimiento'!$D$34,IF(AND(RIGHT(A3,2) &gt;='Tabla Vencimiento'!$A$35),'Tabla Vencimiento'!$D$35,0))))))))))))))))))))</f>
        <v>45077</v>
      </c>
    </row>
    <row r="4" spans="1:14" x14ac:dyDescent="0.45">
      <c r="A4" s="52">
        <v>901265790</v>
      </c>
      <c r="B4" s="52" t="s">
        <v>154</v>
      </c>
      <c r="C4" s="52" t="s">
        <v>26</v>
      </c>
      <c r="D4" s="52" t="s">
        <v>28</v>
      </c>
      <c r="E4" s="52" t="s">
        <v>85</v>
      </c>
      <c r="F4" s="56" t="b">
        <f ca="1">IFERROR(+IF(MONTH(TODAY())=2,VLOOKUP(RIGHT(A4,1),'Tabla Vencimiento'!$A$3:$B$12,2,IF(MONTH(TODAY())=3,VLOOKUP(RIGHT(A4,1),'Tabla Vencimiento'!$A$3:$D$12,3),IF(MONTH(TODAY())=4,VLOOKUP(RIGHT(A4,1),'Tabla Vencimiento'!$A$3:$D$12,4),IF(MONTH(TODAY())=5,VLOOKUP(RIGHT(A4,1),'Tabla Vencimiento'!$A$3:$E$12,5,0),IF(MONTH(TODAY())=6,VLOOKUP(RIGHT(A4,1),'Tabla Vencimiento'!$A$3:$F$12,6),IF(MONTH(TODAY())=7,VLOOKUP(RIGHT(A4,1),'Tabla Vencimiento'!$A$3:$G$12,7),IF(MONTH(TODAY())=8,VLOOKUP(RIGHT(A4,1),'Tabla Vencimiento'!$A$3:$H$12,8),IF(MONTH(TODAY())=9,VLOOKUP(RIGHT(A4,1),'Tabla Vencimiento'!$A$3:$I$12,9),IF(MONTH(TODAY())=10,VLOOKUP(RIGHT(A4,1),'Tabla Vencimiento'!$A$3:$J$12,10),IF(MONTH(TODAY())=11,VLOOKUP(RIGHT(A4,1),'Tabla Vencimiento'!$A$3:$K$12,11),IF(MONTH(TODAY())=12,VLOOKUP(RIGHT(A4,1),'Tabla Vencimiento'!$A$3:$L$12,12),0)))))))))))),0)</f>
        <v>0</v>
      </c>
      <c r="G4" s="56">
        <f ca="1">IFERROR(+IF(C4="No Responsable", 0,+IF(D4="Tributación Simple", 0,+IF(AND(C4="Bimestral",MONTH(TODAY())-1&lt;=2),VLOOKUP(RIGHT(A4,1),'Tabla Vencimiento'!$A$3:$C$12,3,0),IF(AND(C4="Bimestral",MONTH(TODAY())-1&lt;=4),VLOOKUP(RIGHT(A4,1),'Tabla Vencimiento'!$A$3:$E$12,5,0),IF(AND(C4="Bimestral",MONTH(TODAY())-1&lt;=6),VLOOKUP(RIGHT(A4,1),'Tabla Vencimiento'!$A$3:$G$12,7,0),IF(AND(C4="Bimestral",MONTH(TODAY())-1&lt;=8),VLOOKUP(RIGHT(A4,1),'Tabla Vencimiento'!$A$3:$I$12,9,0),IF(AND(C4="Bimestral",MONTH(TODAY())-1=10),VLOOKUP(RIGHT(A4,1),'Tabla Vencimiento'!$A$3:$K$12,11,0),IF(AND(C4="Bimestral",MONTH(TODAY())-1&lt;=12),VLOOKUP(RIGHT(A4,1),'Tabla Vencimiento'!$A$3:$M$12,13,0),IF(AND(C4="Cuatrimestral",MONTH(TODAY())-1&lt;=4),VLOOKUP(RIGHT(A4,1),'Tabla Vencimiento'!$A$3:$E$12,5,0),IF(AND(C4="Cuatrimestral",MONTH(TODAY())-1&lt;=8),VLOOKUP(RIGHT(A4,1),'Tabla Vencimiento'!$A$3:$I$12,9,0),IF(AND(C4="Cuatrimestral",MONTH(TODAY())-1&lt;=12),VLOOKUP(RIGHT(A4,1),'Tabla Vencimiento'!$A$3:$M$12,13,0),0))))))))))),0)</f>
        <v>45069</v>
      </c>
      <c r="H4" s="57">
        <f ca="1">+IF(AND(D4="Tributación Simple",MONTH(TODAY())=2),VLOOKUP(RIGHT(A4,1),'Tabla Vencimiento'!$I$17:$J$26,2,0),0)</f>
        <v>0</v>
      </c>
      <c r="I4" s="56">
        <f ca="1">+IF(AND(D4="Tributación Simple",MONTH(TODAY())=2),VLOOKUP(RIGHT(A4,1),'Tabla Vencimiento'!$A$39:$G$48,2,0),+IF(AND(D4="Tributación Simple",MONTH(TODAY())=4),VLOOKUP(RIGHT(A4,1),'Tabla Vencimiento'!$A$39:$G$48,3,0),+IF(AND(D4="Tributación Simple",MONTH(TODAY())=6),VLOOKUP(RIGHT(A4,1),'Tabla Vencimiento'!$A$39:$G$48,4,0),+IF(AND(D4="Tributación Simple",MONTH(TODAY())=8),VLOOKUP(RIGHT(A4,1),'Tabla Vencimiento'!$A$39:$G$48,5,0),+IF(AND(D4="Tributación Simple",MONTH(TODAY())=10),VLOOKUP(RIGHT(A4,1),'Tabla Vencimiento'!$A$39:$G$48,6,0),+IF(AND(D4="Tributación Simple",MONTH(TODAY())=12),VLOOKUP(RIGHT(A4,1),'Tabla Vencimiento'!$A$39:$G$48,7,0),0))))))</f>
        <v>0</v>
      </c>
      <c r="J4" s="56">
        <f>+IF(AND(D4="Ordinario",E4="PN"),VLOOKUP(RIGHT(A4,2),'Tabla Vencimiento'!$I$40:$J$139,2,0),+IF(AND(D4="Ordinario",E4="PN"),VLOOKUP(RIGHT(A4,2),'Tabla Vencimiento'!$J$40:$J$139,2,0),+IF(AND(D4="Tributación Simple",E4="PN"),0,+IF(AND(D4="Tributación Simple",E4="PJ"),0,+IF(AND(RIGHT(A4,2)&gt;='Tabla Vencimiento'!$A$16,RIGHT(A4,2)&lt;='Tabla Vencimiento'!$B$16),'Tabla Vencimiento'!$C$16,IF(AND(RIGHT(A4,2)&gt;='Tabla Vencimiento'!$A$17,RIGHT(A4,2)&lt;='Tabla Vencimiento'!$B$17),'Tabla Vencimiento'!$C$17,IF(AND(RIGHT(A4,2)&gt;='Tabla Vencimiento'!$A$18,RIGHT(A4,2)&lt;='Tabla Vencimiento'!$B$18),'Tabla Vencimiento'!$C$18,IF(AND(RIGHT(A4,2)&gt;='Tabla Vencimiento'!$A$19,RIGHT(A4,2)&lt;='Tabla Vencimiento'!$B$19),'Tabla Vencimiento'!$C$19,IF(AND(RIGHT(A4,2)&gt;='Tabla Vencimiento'!$A$20,RIGHT(A4,2)&lt;='Tabla Vencimiento'!$B$20),'Tabla Vencimiento'!$C$20,IF(AND(RIGHT(A4,2)&gt;='Tabla Vencimiento'!$A$21,RIGHT(A4,2)&lt;='Tabla Vencimiento'!$B$21),'Tabla Vencimiento'!$C$21,IF(AND(RIGHT(A4,2)&gt;='Tabla Vencimiento'!$A$22,RIGHT(A4,2)&lt;='Tabla Vencimiento'!$B$22),'Tabla Vencimiento'!$C$22,IF(AND(RIGHT(A4,2)&gt;='Tabla Vencimiento'!$A$23,RIGHT(A4,2)&lt;='Tabla Vencimiento'!$B$23),'Tabla Vencimiento'!$C$23,IF(AND(RIGHT(A4,2)&gt;='Tabla Vencimiento'!$A$24,RIGHT(A4,2)&lt;='Tabla Vencimiento'!$B$24),'Tabla Vencimiento'!$C$24,IF(AND(RIGHT(A4,2)&gt;='Tabla Vencimiento'!$A$25,RIGHT(A4,2)&lt;='Tabla Vencimiento'!$B$25),'Tabla Vencimiento'!$C$25,IF(AND(RIGHT(A4,2)&gt;='Tabla Vencimiento'!$A$26,RIGHT(A4,2)&lt;='Tabla Vencimiento'!$B$26),'Tabla Vencimiento'!$C$26,IF(AND(RIGHT(A4,2)&gt;='Tabla Vencimiento'!$A$27,RIGHT(A4,2)&lt;='Tabla Vencimiento'!$B$27),'Tabla Vencimiento'!$C$27,IF(AND(RIGHT(A4,2)&gt;='Tabla Vencimiento'!$A$28,RIGHT(A4,2)&lt;='Tabla Vencimiento'!$B$28),'Tabla Vencimiento'!$C$28,IF(AND(RIGHT(A4,2)&gt;='Tabla Vencimiento'!$A$29,RIGHT(A4,2)&lt;='Tabla Vencimiento'!$B$29),'Tabla Vencimiento'!$C$29,IF(AND(RIGHT(A4,2)&gt;='Tabla Vencimiento'!$A$30,RIGHT(A4,2)&lt;='Tabla Vencimiento'!$B$30),'Tabla Vencimiento'!$C$30,IF(AND(RIGHT(A4,2)&gt;='Tabla Vencimiento'!$A$31,RIGHT(A4,2)&lt;='Tabla Vencimiento'!$B$31),'Tabla Vencimiento'!$C$31,IF(AND(RIGHT(A4,2)&gt;='Tabla Vencimiento'!$A$32,RIGHT(A4,2)&lt;='Tabla Vencimiento'!$B$32),'Tabla Vencimiento'!$C$32,IF(AND(RIGHT(A4,2)&gt;='Tabla Vencimiento'!$A$33,RIGHT(A4,2)&lt;='Tabla Vencimiento'!$B$33),'Tabla Vencimiento'!$C$33,IF(AND(RIGHT(A4,2)&gt;='Tabla Vencimiento'!$A$34,RIGHT(A4,2)&lt;='Tabla Vencimiento'!$B$34),'Tabla Vencimiento'!$C$34,IF(AND(RIGHT(A4,2)&gt;='Tabla Vencimiento'!$A$35),'Tabla Vencimiento'!$C$35,0))))))))))))))))))))))))</f>
        <v>45050</v>
      </c>
      <c r="K4" s="56">
        <f>+IF((D4="Tributación Simple"),VLOOKUP(RIGHT(A4,1),'Tabla Vencimiento'!$F$17:$G$26,2,0),0)</f>
        <v>0</v>
      </c>
      <c r="L4" s="56">
        <f>+IF(AND(RIGHT(A4,2) &gt;='Tabla Vencimiento'!$A$16,RIGHT(A4,2) &lt;='Tabla Vencimiento'!$B$16),'Tabla Vencimiento'!$D$16,IF(AND(RIGHT(A4,2) &gt;='Tabla Vencimiento'!$A$17,RIGHT(A4,2) &lt;='Tabla Vencimiento'!$B$17),'Tabla Vencimiento'!$D$17,IF(AND(RIGHT(A4,2) &gt;='Tabla Vencimiento'!$A$18,RIGHT(A4,2) &lt;='Tabla Vencimiento'!$B$18),'Tabla Vencimiento'!$D$18,IF(AND(RIGHT(A4,2) &gt;='Tabla Vencimiento'!$A$19,RIGHT(A4,2) &lt;='Tabla Vencimiento'!$B$19),'Tabla Vencimiento'!$D$19,IF(AND(RIGHT(A4,2) &gt;='Tabla Vencimiento'!$A$20,RIGHT(A4,2) &lt;='Tabla Vencimiento'!$B$20),'Tabla Vencimiento'!$D$20,IF(AND(RIGHT(A4,2) &gt;='Tabla Vencimiento'!$A$21,RIGHT(A4,2) &lt;='Tabla Vencimiento'!$B$21),'Tabla Vencimiento'!$D$21,IF(AND(RIGHT(A4,2) &gt;='Tabla Vencimiento'!$A$22,RIGHT(A4,2) &lt;='Tabla Vencimiento'!$B$22),'Tabla Vencimiento'!$D$22,IF(AND(RIGHT(A4,2) &gt;='Tabla Vencimiento'!$A$23,RIGHT(A4,2) &lt;='Tabla Vencimiento'!$B$23),'Tabla Vencimiento'!$D$23,IF(AND(RIGHT(A4,2) &gt;='Tabla Vencimiento'!$A$24,RIGHT(A4,2) &lt;='Tabla Vencimiento'!$B$24),'Tabla Vencimiento'!$D$24,IF(AND(RIGHT(A4,2) &gt;='Tabla Vencimiento'!$A$25,RIGHT(A4,2) &lt;='Tabla Vencimiento'!$B$25),'Tabla Vencimiento'!$D$25,IF(AND(RIGHT(A4,2) &gt;='Tabla Vencimiento'!$A$26,RIGHT(A4,2) &lt;='Tabla Vencimiento'!$B$26),'Tabla Vencimiento'!$D$26,IF(AND(RIGHT(A4,2) &gt;='Tabla Vencimiento'!$A$27,RIGHT(A4,2) &lt;='Tabla Vencimiento'!$B$27),'Tabla Vencimiento'!$D$27,IF(AND(RIGHT(A4,2) &gt;='Tabla Vencimiento'!$A$28,RIGHT(A4,2) &lt;='Tabla Vencimiento'!$B$28),'Tabla Vencimiento'!$D$28,IF(AND(RIGHT(A4,2) &gt;='Tabla Vencimiento'!$A$29,RIGHT(A4,2) &lt;='Tabla Vencimiento'!$B$29),'Tabla Vencimiento'!$D$29,IF(AND(RIGHT(A4,2) &gt;='Tabla Vencimiento'!$A$30,RIGHT(A4,2) &lt;='Tabla Vencimiento'!$B$30),'Tabla Vencimiento'!$D$30,IF(AND(RIGHT(A4,2) &gt;='Tabla Vencimiento'!$A$31,RIGHT(A4,2) &lt;='Tabla Vencimiento'!$B$31),'Tabla Vencimiento'!$D$31,IF(AND(RIGHT(A4,2) &gt;='Tabla Vencimiento'!$A$32,RIGHT(A4,2) &lt;='Tabla Vencimiento'!$B$32),'Tabla Vencimiento'!$D$32,IF(AND(RIGHT(A4,2) &gt;='Tabla Vencimiento'!$A$33,RIGHT(A4,2) &lt;='Tabla Vencimiento'!$B$33),'Tabla Vencimiento'!$D$33,IF(AND(RIGHT(A4,2) &gt;='Tabla Vencimiento'!$A$34,RIGHT(A4,2) &lt;='Tabla Vencimiento'!$B$34),'Tabla Vencimiento'!$D$34,IF(AND(RIGHT(A4,2) &gt;='Tabla Vencimiento'!$A$35),'Tabla Vencimiento'!$D$35,0))))))))))))))))))))</f>
        <v>45086</v>
      </c>
    </row>
    <row r="5" spans="1:14" x14ac:dyDescent="0.45">
      <c r="A5" s="52">
        <v>900376985</v>
      </c>
      <c r="B5" s="52" t="s">
        <v>155</v>
      </c>
      <c r="C5" s="52" t="s">
        <v>25</v>
      </c>
      <c r="D5" s="52" t="s">
        <v>28</v>
      </c>
      <c r="E5" s="52" t="s">
        <v>85</v>
      </c>
      <c r="F5" s="56" t="b">
        <f ca="1">IFERROR(+IF(MONTH(TODAY())=2,VLOOKUP(RIGHT(A5,1),'Tabla Vencimiento'!$A$3:$B$12,2,IF(MONTH(TODAY())=3,VLOOKUP(RIGHT(A5,1),'Tabla Vencimiento'!$A$3:$C$12,3),IF(MONTH(TODAY())=4,VLOOKUP(RIGHT(A5,1),'Tabla Vencimiento'!$A$3:$D$12,4),IF(MONTH(TODAY())=5,VLOOKUP(RIGHT(A5,1),'Tabla Vencimiento'!$A$3:$E$12,5,0),IF(MONTH(TODAY())=6,VLOOKUP(RIGHT(A5,1),'Tabla Vencimiento'!$A$3:$F$12,6),IF(MONTH(TODAY())=7,VLOOKUP(RIGHT(A5,1),'Tabla Vencimiento'!$A$3:$G$12,7),IF(MONTH(TODAY())=8,VLOOKUP(RIGHT(A5,1),'Tabla Vencimiento'!$A$3:$H$12,8),IF(MONTH(TODAY())=9,VLOOKUP(RIGHT(A5,1),'Tabla Vencimiento'!$A$3:$I$12,9),IF(MONTH(TODAY())=10,VLOOKUP(RIGHT(A5,1),'Tabla Vencimiento'!$A$3:$J$12,10),IF(MONTH(TODAY())=11,VLOOKUP(RIGHT(A5,1),'Tabla Vencimiento'!$A$3:$K$12,11),IF(MONTH(TODAY())=12,VLOOKUP(RIGHT(A5,1),'Tabla Vencimiento'!$A$3:$L$12,12),0)))))))))))),0)</f>
        <v>0</v>
      </c>
      <c r="G5" s="56">
        <f ca="1">IFERROR(+IF(C5="No Responsable", 0,+IF(D5="Tributación Simple", 0,+IF(AND(C5="Bimestral",MONTH(TODAY())-1&lt;=2),VLOOKUP(RIGHT(A5,1),'Tabla Vencimiento'!$A$3:$C$12,3,0),IF(AND(C5="Bimestral",MONTH(TODAY())-1&lt;=4),VLOOKUP(RIGHT(A5,1),'Tabla Vencimiento'!$A$3:$E$12,5,0),IF(AND(C5="Bimestral",MONTH(TODAY())-1&lt;=6),VLOOKUP(RIGHT(A5,1),'Tabla Vencimiento'!$A$3:$G$12,7,0),IF(AND(C5="Bimestral",MONTH(TODAY())-1&lt;=8),VLOOKUP(RIGHT(A5,1),'Tabla Vencimiento'!$A$3:$I$12,9,0),IF(AND(C5="Bimestral",MONTH(TODAY())-1=10),VLOOKUP(RIGHT(A5,1),'Tabla Vencimiento'!$A$3:$K$12,11,0),IF(AND(C5="Bimestral",MONTH(TODAY())-1&lt;=12),VLOOKUP(RIGHT(A5,1),'Tabla Vencimiento'!$A$3:$M$12,13,0),IF(AND(C5="Cuatrimestral",MONTH(TODAY())-1&lt;=4),VLOOKUP(RIGHT(A5,1),'Tabla Vencimiento'!$A$3:$E$12,5,0),IF(AND(C5="Cuatrimestral",MONTH(TODAY())-1&lt;=8),VLOOKUP(RIGHT(A5,1),'Tabla Vencimiento'!$A$3:$I$12,9,0),IF(AND(C5="Cuatrimestral",MONTH(TODAY())-1&lt;=12),VLOOKUP(RIGHT(A5,1),'Tabla Vencimiento'!$A$3:$M$12,13,0),0))))))))))),0)</f>
        <v>45061</v>
      </c>
      <c r="H5" s="57">
        <f ca="1">+IF(AND(D5="Tributación Simple",MONTH(TODAY())=2),VLOOKUP(RIGHT(A5,1),'Tabla Vencimiento'!$I$17:$J$26,2,0),0)</f>
        <v>0</v>
      </c>
      <c r="I5" s="56">
        <f ca="1">+IF(AND(D5="Tributación Simple",MONTH(TODAY())=2),VLOOKUP(RIGHT(A5,1),'Tabla Vencimiento'!$A$39:$G$48,2,0),+IF(AND(D5="Tributación Simple",MONTH(TODAY())=4),VLOOKUP(RIGHT(A5,1),'Tabla Vencimiento'!$A$39:$G$48,3,0),+IF(AND(D5="Tributación Simple",MONTH(TODAY())=6),VLOOKUP(RIGHT(A5,1),'Tabla Vencimiento'!$A$39:$G$48,4,0),+IF(AND(D5="Tributación Simple",MONTH(TODAY())=8),VLOOKUP(RIGHT(A5,1),'Tabla Vencimiento'!$A$39:$G$48,5,0),+IF(AND(D5="Tributación Simple",MONTH(TODAY())=10),VLOOKUP(RIGHT(A5,1),'Tabla Vencimiento'!$A$39:$G$48,6,0),+IF(AND(D5="Tributación Simple",MONTH(TODAY())=12),VLOOKUP(RIGHT(A5,1),'Tabla Vencimiento'!$A$39:$G$48,7,0),0))))))</f>
        <v>0</v>
      </c>
      <c r="J5" s="56">
        <f>+IF(AND(D5="Ordinario",E5="PN"),VLOOKUP(RIGHT(A5,2),'Tabla Vencimiento'!$I$40:$J$139,2,0),+IF(AND(D5="Ordinario",E5="PN"),VLOOKUP(RIGHT(A5,2),'Tabla Vencimiento'!$J$40:$J$139,2,0),+IF(AND(D5="Tributación Simple",E5="PN"),0,+IF(AND(D5="Tributación Simple",E5="PJ"),0,+IF(AND(RIGHT(A5,2)&gt;='Tabla Vencimiento'!$A$16,RIGHT(A5,2)&lt;='Tabla Vencimiento'!$B$16),'Tabla Vencimiento'!$C$16,IF(AND(RIGHT(A5,2)&gt;='Tabla Vencimiento'!$A$17,RIGHT(A5,2)&lt;='Tabla Vencimiento'!$B$17),'Tabla Vencimiento'!$C$17,IF(AND(RIGHT(A5,2)&gt;='Tabla Vencimiento'!$A$18,RIGHT(A5,2)&lt;='Tabla Vencimiento'!$B$18),'Tabla Vencimiento'!$C$18,IF(AND(RIGHT(A5,2)&gt;='Tabla Vencimiento'!$A$19,RIGHT(A5,2)&lt;='Tabla Vencimiento'!$B$19),'Tabla Vencimiento'!$C$19,IF(AND(RIGHT(A5,2)&gt;='Tabla Vencimiento'!$A$20,RIGHT(A5,2)&lt;='Tabla Vencimiento'!$B$20),'Tabla Vencimiento'!$C$20,IF(AND(RIGHT(A5,2)&gt;='Tabla Vencimiento'!$A$21,RIGHT(A5,2)&lt;='Tabla Vencimiento'!$B$21),'Tabla Vencimiento'!$C$21,IF(AND(RIGHT(A5,2)&gt;='Tabla Vencimiento'!$A$22,RIGHT(A5,2)&lt;='Tabla Vencimiento'!$B$22),'Tabla Vencimiento'!$C$22,IF(AND(RIGHT(A5,2)&gt;='Tabla Vencimiento'!$A$23,RIGHT(A5,2)&lt;='Tabla Vencimiento'!$B$23),'Tabla Vencimiento'!$C$23,IF(AND(RIGHT(A5,2)&gt;='Tabla Vencimiento'!$A$24,RIGHT(A5,2)&lt;='Tabla Vencimiento'!$B$24),'Tabla Vencimiento'!$C$24,IF(AND(RIGHT(A5,2)&gt;='Tabla Vencimiento'!$A$25,RIGHT(A5,2)&lt;='Tabla Vencimiento'!$B$25),'Tabla Vencimiento'!$C$25,IF(AND(RIGHT(A5,2)&gt;='Tabla Vencimiento'!$A$26,RIGHT(A5,2)&lt;='Tabla Vencimiento'!$B$26),'Tabla Vencimiento'!$C$26,IF(AND(RIGHT(A5,2)&gt;='Tabla Vencimiento'!$A$27,RIGHT(A5,2)&lt;='Tabla Vencimiento'!$B$27),'Tabla Vencimiento'!$C$27,IF(AND(RIGHT(A5,2)&gt;='Tabla Vencimiento'!$A$28,RIGHT(A5,2)&lt;='Tabla Vencimiento'!$B$28),'Tabla Vencimiento'!$C$28,IF(AND(RIGHT(A5,2)&gt;='Tabla Vencimiento'!$A$29,RIGHT(A5,2)&lt;='Tabla Vencimiento'!$B$29),'Tabla Vencimiento'!$C$29,IF(AND(RIGHT(A5,2)&gt;='Tabla Vencimiento'!$A$30,RIGHT(A5,2)&lt;='Tabla Vencimiento'!$B$30),'Tabla Vencimiento'!$C$30,IF(AND(RIGHT(A5,2)&gt;='Tabla Vencimiento'!$A$31,RIGHT(A5,2)&lt;='Tabla Vencimiento'!$B$31),'Tabla Vencimiento'!$C$31,IF(AND(RIGHT(A5,2)&gt;='Tabla Vencimiento'!$A$32,RIGHT(A5,2)&lt;='Tabla Vencimiento'!$B$32),'Tabla Vencimiento'!$C$32,IF(AND(RIGHT(A5,2)&gt;='Tabla Vencimiento'!$A$33,RIGHT(A5,2)&lt;='Tabla Vencimiento'!$B$33),'Tabla Vencimiento'!$C$33,IF(AND(RIGHT(A5,2)&gt;='Tabla Vencimiento'!$A$34,RIGHT(A5,2)&lt;='Tabla Vencimiento'!$B$34),'Tabla Vencimiento'!$C$34,IF(AND(RIGHT(A5,2)&gt;='Tabla Vencimiento'!$A$35),'Tabla Vencimiento'!$C$35,0))))))))))))))))))))))))</f>
        <v>45049</v>
      </c>
      <c r="K5" s="56">
        <f>+IF((D5="Tributación Simple"),VLOOKUP(RIGHT(A5,1),'Tabla Vencimiento'!$F$17:$G$26,2,0),0)</f>
        <v>0</v>
      </c>
      <c r="L5" s="56">
        <f>+IF(AND(RIGHT(A5,2) &gt;='Tabla Vencimiento'!$A$16,RIGHT(A5,2) &lt;='Tabla Vencimiento'!$B$16),'Tabla Vencimiento'!$D$16,IF(AND(RIGHT(A5,2) &gt;='Tabla Vencimiento'!$A$17,RIGHT(A5,2) &lt;='Tabla Vencimiento'!$B$17),'Tabla Vencimiento'!$D$17,IF(AND(RIGHT(A5,2) &gt;='Tabla Vencimiento'!$A$18,RIGHT(A5,2) &lt;='Tabla Vencimiento'!$B$18),'Tabla Vencimiento'!$D$18,IF(AND(RIGHT(A5,2) &gt;='Tabla Vencimiento'!$A$19,RIGHT(A5,2) &lt;='Tabla Vencimiento'!$B$19),'Tabla Vencimiento'!$D$19,IF(AND(RIGHT(A5,2) &gt;='Tabla Vencimiento'!$A$20,RIGHT(A5,2) &lt;='Tabla Vencimiento'!$B$20),'Tabla Vencimiento'!$D$20,IF(AND(RIGHT(A5,2) &gt;='Tabla Vencimiento'!$A$21,RIGHT(A5,2) &lt;='Tabla Vencimiento'!$B$21),'Tabla Vencimiento'!$D$21,IF(AND(RIGHT(A5,2) &gt;='Tabla Vencimiento'!$A$22,RIGHT(A5,2) &lt;='Tabla Vencimiento'!$B$22),'Tabla Vencimiento'!$D$22,IF(AND(RIGHT(A5,2) &gt;='Tabla Vencimiento'!$A$23,RIGHT(A5,2) &lt;='Tabla Vencimiento'!$B$23),'Tabla Vencimiento'!$D$23,IF(AND(RIGHT(A5,2) &gt;='Tabla Vencimiento'!$A$24,RIGHT(A5,2) &lt;='Tabla Vencimiento'!$B$24),'Tabla Vencimiento'!$D$24,IF(AND(RIGHT(A5,2) &gt;='Tabla Vencimiento'!$A$25,RIGHT(A5,2) &lt;='Tabla Vencimiento'!$B$25),'Tabla Vencimiento'!$D$25,IF(AND(RIGHT(A5,2) &gt;='Tabla Vencimiento'!$A$26,RIGHT(A5,2) &lt;='Tabla Vencimiento'!$B$26),'Tabla Vencimiento'!$D$26,IF(AND(RIGHT(A5,2) &gt;='Tabla Vencimiento'!$A$27,RIGHT(A5,2) &lt;='Tabla Vencimiento'!$B$27),'Tabla Vencimiento'!$D$27,IF(AND(RIGHT(A5,2) &gt;='Tabla Vencimiento'!$A$28,RIGHT(A5,2) &lt;='Tabla Vencimiento'!$B$28),'Tabla Vencimiento'!$D$28,IF(AND(RIGHT(A5,2) &gt;='Tabla Vencimiento'!$A$29,RIGHT(A5,2) &lt;='Tabla Vencimiento'!$B$29),'Tabla Vencimiento'!$D$29,IF(AND(RIGHT(A5,2) &gt;='Tabla Vencimiento'!$A$30,RIGHT(A5,2) &lt;='Tabla Vencimiento'!$B$30),'Tabla Vencimiento'!$D$30,IF(AND(RIGHT(A5,2) &gt;='Tabla Vencimiento'!$A$31,RIGHT(A5,2) &lt;='Tabla Vencimiento'!$B$31),'Tabla Vencimiento'!$D$31,IF(AND(RIGHT(A5,2) &gt;='Tabla Vencimiento'!$A$32,RIGHT(A5,2) &lt;='Tabla Vencimiento'!$B$32),'Tabla Vencimiento'!$D$32,IF(AND(RIGHT(A5,2) &gt;='Tabla Vencimiento'!$A$33,RIGHT(A5,2) &lt;='Tabla Vencimiento'!$B$33),'Tabla Vencimiento'!$D$33,IF(AND(RIGHT(A5,2) &gt;='Tabla Vencimiento'!$A$34,RIGHT(A5,2) &lt;='Tabla Vencimiento'!$B$34),'Tabla Vencimiento'!$D$34,IF(AND(RIGHT(A5,2) &gt;='Tabla Vencimiento'!$A$35),'Tabla Vencimiento'!$D$35,0))))))))))))))))))))</f>
        <v>45085</v>
      </c>
    </row>
    <row r="6" spans="1:14" x14ac:dyDescent="0.45">
      <c r="A6" s="52">
        <v>901453958</v>
      </c>
      <c r="B6" s="52" t="s">
        <v>156</v>
      </c>
      <c r="C6" s="52" t="s">
        <v>26</v>
      </c>
      <c r="D6" s="52" t="s">
        <v>28</v>
      </c>
      <c r="E6" s="52" t="s">
        <v>85</v>
      </c>
      <c r="F6" s="56" t="b">
        <f ca="1">IFERROR(+IF(MONTH(TODAY())=2,VLOOKUP(RIGHT(A6,1),'Tabla Vencimiento'!$A$3:$B$12,2,IF(MONTH(TODAY())=3,VLOOKUP(RIGHT(A6,1),'Tabla Vencimiento'!$A$3:$C$12,3),IF(MONTH(TODAY())=4,VLOOKUP(RIGHT(A6,1),'Tabla Vencimiento'!$A$3:$D$12,4),IF(MONTH(TODAY())=5,VLOOKUP(RIGHT(A6,1),'Tabla Vencimiento'!$A$3:$E$12,5,0),IF(MONTH(TODAY())=6,VLOOKUP(RIGHT(A6,1),'Tabla Vencimiento'!$A$3:$F$12,6),IF(MONTH(TODAY())=7,VLOOKUP(RIGHT(A6,1),'Tabla Vencimiento'!$A$3:$G$12,7),IF(MONTH(TODAY())=8,VLOOKUP(RIGHT(A6,1),'Tabla Vencimiento'!$A$3:$H$12,8),IF(MONTH(TODAY())=9,VLOOKUP(RIGHT(A6,1),'Tabla Vencimiento'!$A$3:$I$12,9),IF(MONTH(TODAY())=10,VLOOKUP(RIGHT(A6,1),'Tabla Vencimiento'!$A$3:$J$12,10),IF(MONTH(TODAY())=11,VLOOKUP(RIGHT(A6,1),'Tabla Vencimiento'!$A$3:$K$12,11),IF(MONTH(TODAY())=12,VLOOKUP(RIGHT(A6,1),'Tabla Vencimiento'!$A$3:$L$12,12),0)))))))))))),0)</f>
        <v>0</v>
      </c>
      <c r="G6" s="56">
        <f ca="1">IFERROR(+IF(C6="No Responsable", 0,+IF(D6="Tributación Simple", 0,+IF(AND(C6="Bimestral",MONTH(TODAY())-1&lt;=2),VLOOKUP(RIGHT(A6,1),'Tabla Vencimiento'!$A$3:$C$12,3,0),IF(AND(C6="Bimestral",MONTH(TODAY())-1&lt;=4),VLOOKUP(RIGHT(A6,1),'Tabla Vencimiento'!$A$3:$E$12,5,0),IF(AND(C6="Bimestral",MONTH(TODAY())-1&lt;=6),VLOOKUP(RIGHT(A6,1),'Tabla Vencimiento'!$A$3:$G$12,7,0),IF(AND(C6="Bimestral",MONTH(TODAY())-1&lt;=8),VLOOKUP(RIGHT(A6,1),'Tabla Vencimiento'!$A$3:$I$12,9,0),IF(AND(C6="Bimestral",MONTH(TODAY())-1=10),VLOOKUP(RIGHT(A6,1),'Tabla Vencimiento'!$A$3:$K$12,11,0),IF(AND(C6="Bimestral",MONTH(TODAY())-1&lt;=12),VLOOKUP(RIGHT(A6,1),'Tabla Vencimiento'!$A$3:$M$12,13,0),IF(AND(C6="Cuatrimestral",MONTH(TODAY())-1&lt;=4),VLOOKUP(RIGHT(A6,1),'Tabla Vencimiento'!$A$3:$E$12,5,0),IF(AND(C6="Cuatrimestral",MONTH(TODAY())-1&lt;=8),VLOOKUP(RIGHT(A6,1),'Tabla Vencimiento'!$A$3:$I$12,9,0),IF(AND(C6="Cuatrimestral",MONTH(TODAY())-1&lt;=12),VLOOKUP(RIGHT(A6,1),'Tabla Vencimiento'!$A$3:$M$12,13,0),0))))))))))),0)</f>
        <v>45064</v>
      </c>
      <c r="H6" s="57">
        <f ca="1">+IF(AND(D6="Tributación Simple",MONTH(TODAY())=2),VLOOKUP(RIGHT(A6,1),'Tabla Vencimiento'!$I$17:$J$26,2,0),0)</f>
        <v>0</v>
      </c>
      <c r="I6" s="56">
        <f ca="1">+IF(AND(D6="Tributación Simple",MONTH(TODAY())=2),VLOOKUP(RIGHT(A6,1),'Tabla Vencimiento'!$A$39:$G$48,2,0),+IF(AND(D6="Tributación Simple",MONTH(TODAY())=4),VLOOKUP(RIGHT(A6,1),'Tabla Vencimiento'!$A$39:$G$48,3,0),+IF(AND(D6="Tributación Simple",MONTH(TODAY())=6),VLOOKUP(RIGHT(A6,1),'Tabla Vencimiento'!$A$39:$G$48,4,0),+IF(AND(D6="Tributación Simple",MONTH(TODAY())=8),VLOOKUP(RIGHT(A6,1),'Tabla Vencimiento'!$A$39:$G$48,5,0),+IF(AND(D6="Tributación Simple",MONTH(TODAY())=10),VLOOKUP(RIGHT(A6,1),'Tabla Vencimiento'!$A$39:$G$48,6,0),+IF(AND(D6="Tributación Simple",MONTH(TODAY())=12),VLOOKUP(RIGHT(A6,1),'Tabla Vencimiento'!$A$39:$G$48,7,0),0))))))</f>
        <v>0</v>
      </c>
      <c r="J6" s="56">
        <f>+IF(AND(D6="Ordinario",E6="PN"),VLOOKUP(RIGHT(A6,2),'Tabla Vencimiento'!$I$40:$J$139,2,0),+IF(AND(D6="Ordinario",E6="PN"),VLOOKUP(RIGHT(A6,2),'Tabla Vencimiento'!$J$40:$J$139,2,0),+IF(AND(D6="Tributación Simple",E6="PN"),0,+IF(AND(D6="Tributación Simple",E6="PJ"),0,+IF(AND(RIGHT(A6,2)&gt;='Tabla Vencimiento'!$A$16,RIGHT(A6,2)&lt;='Tabla Vencimiento'!$B$16),'Tabla Vencimiento'!$C$16,IF(AND(RIGHT(A6,2)&gt;='Tabla Vencimiento'!$A$17,RIGHT(A6,2)&lt;='Tabla Vencimiento'!$B$17),'Tabla Vencimiento'!$C$17,IF(AND(RIGHT(A6,2)&gt;='Tabla Vencimiento'!$A$18,RIGHT(A6,2)&lt;='Tabla Vencimiento'!$B$18),'Tabla Vencimiento'!$C$18,IF(AND(RIGHT(A6,2)&gt;='Tabla Vencimiento'!$A$19,RIGHT(A6,2)&lt;='Tabla Vencimiento'!$B$19),'Tabla Vencimiento'!$C$19,IF(AND(RIGHT(A6,2)&gt;='Tabla Vencimiento'!$A$20,RIGHT(A6,2)&lt;='Tabla Vencimiento'!$B$20),'Tabla Vencimiento'!$C$20,IF(AND(RIGHT(A6,2)&gt;='Tabla Vencimiento'!$A$21,RIGHT(A6,2)&lt;='Tabla Vencimiento'!$B$21),'Tabla Vencimiento'!$C$21,IF(AND(RIGHT(A6,2)&gt;='Tabla Vencimiento'!$A$22,RIGHT(A6,2)&lt;='Tabla Vencimiento'!$B$22),'Tabla Vencimiento'!$C$22,IF(AND(RIGHT(A6,2)&gt;='Tabla Vencimiento'!$A$23,RIGHT(A6,2)&lt;='Tabla Vencimiento'!$B$23),'Tabla Vencimiento'!$C$23,IF(AND(RIGHT(A6,2)&gt;='Tabla Vencimiento'!$A$24,RIGHT(A6,2)&lt;='Tabla Vencimiento'!$B$24),'Tabla Vencimiento'!$C$24,IF(AND(RIGHT(A6,2)&gt;='Tabla Vencimiento'!$A$25,RIGHT(A6,2)&lt;='Tabla Vencimiento'!$B$25),'Tabla Vencimiento'!$C$25,IF(AND(RIGHT(A6,2)&gt;='Tabla Vencimiento'!$A$26,RIGHT(A6,2)&lt;='Tabla Vencimiento'!$B$26),'Tabla Vencimiento'!$C$26,IF(AND(RIGHT(A6,2)&gt;='Tabla Vencimiento'!$A$27,RIGHT(A6,2)&lt;='Tabla Vencimiento'!$B$27),'Tabla Vencimiento'!$C$27,IF(AND(RIGHT(A6,2)&gt;='Tabla Vencimiento'!$A$28,RIGHT(A6,2)&lt;='Tabla Vencimiento'!$B$28),'Tabla Vencimiento'!$C$28,IF(AND(RIGHT(A6,2)&gt;='Tabla Vencimiento'!$A$29,RIGHT(A6,2)&lt;='Tabla Vencimiento'!$B$29),'Tabla Vencimiento'!$C$29,IF(AND(RIGHT(A6,2)&gt;='Tabla Vencimiento'!$A$30,RIGHT(A6,2)&lt;='Tabla Vencimiento'!$B$30),'Tabla Vencimiento'!$C$30,IF(AND(RIGHT(A6,2)&gt;='Tabla Vencimiento'!$A$31,RIGHT(A6,2)&lt;='Tabla Vencimiento'!$B$31),'Tabla Vencimiento'!$C$31,IF(AND(RIGHT(A6,2)&gt;='Tabla Vencimiento'!$A$32,RIGHT(A6,2)&lt;='Tabla Vencimiento'!$B$32),'Tabla Vencimiento'!$C$32,IF(AND(RIGHT(A6,2)&gt;='Tabla Vencimiento'!$A$33,RIGHT(A6,2)&lt;='Tabla Vencimiento'!$B$33),'Tabla Vencimiento'!$C$33,IF(AND(RIGHT(A6,2)&gt;='Tabla Vencimiento'!$A$34,RIGHT(A6,2)&lt;='Tabla Vencimiento'!$B$34),'Tabla Vencimiento'!$C$34,IF(AND(RIGHT(A6,2)&gt;='Tabla Vencimiento'!$A$35),'Tabla Vencimiento'!$C$35,0))))))))))))))))))))))))</f>
        <v>45041</v>
      </c>
      <c r="K6" s="56">
        <f>+IF((D6="Tributación Simple"),VLOOKUP(RIGHT(A6,1),'Tabla Vencimiento'!$F$17:$G$26,2,0),0)</f>
        <v>0</v>
      </c>
      <c r="L6" s="56">
        <f>+IF(AND(RIGHT(A6,2) &gt;='Tabla Vencimiento'!$A$16,RIGHT(A6,2) &lt;='Tabla Vencimiento'!$B$16),'Tabla Vencimiento'!$D$16,IF(AND(RIGHT(A6,2) &gt;='Tabla Vencimiento'!$A$17,RIGHT(A6,2) &lt;='Tabla Vencimiento'!$B$17),'Tabla Vencimiento'!$D$17,IF(AND(RIGHT(A6,2) &gt;='Tabla Vencimiento'!$A$18,RIGHT(A6,2) &lt;='Tabla Vencimiento'!$B$18),'Tabla Vencimiento'!$D$18,IF(AND(RIGHT(A6,2) &gt;='Tabla Vencimiento'!$A$19,RIGHT(A6,2) &lt;='Tabla Vencimiento'!$B$19),'Tabla Vencimiento'!$D$19,IF(AND(RIGHT(A6,2) &gt;='Tabla Vencimiento'!$A$20,RIGHT(A6,2) &lt;='Tabla Vencimiento'!$B$20),'Tabla Vencimiento'!$D$20,IF(AND(RIGHT(A6,2) &gt;='Tabla Vencimiento'!$A$21,RIGHT(A6,2) &lt;='Tabla Vencimiento'!$B$21),'Tabla Vencimiento'!$D$21,IF(AND(RIGHT(A6,2) &gt;='Tabla Vencimiento'!$A$22,RIGHT(A6,2) &lt;='Tabla Vencimiento'!$B$22),'Tabla Vencimiento'!$D$22,IF(AND(RIGHT(A6,2) &gt;='Tabla Vencimiento'!$A$23,RIGHT(A6,2) &lt;='Tabla Vencimiento'!$B$23),'Tabla Vencimiento'!$D$23,IF(AND(RIGHT(A6,2) &gt;='Tabla Vencimiento'!$A$24,RIGHT(A6,2) &lt;='Tabla Vencimiento'!$B$24),'Tabla Vencimiento'!$D$24,IF(AND(RIGHT(A6,2) &gt;='Tabla Vencimiento'!$A$25,RIGHT(A6,2) &lt;='Tabla Vencimiento'!$B$25),'Tabla Vencimiento'!$D$25,IF(AND(RIGHT(A6,2) &gt;='Tabla Vencimiento'!$A$26,RIGHT(A6,2) &lt;='Tabla Vencimiento'!$B$26),'Tabla Vencimiento'!$D$26,IF(AND(RIGHT(A6,2) &gt;='Tabla Vencimiento'!$A$27,RIGHT(A6,2) &lt;='Tabla Vencimiento'!$B$27),'Tabla Vencimiento'!$D$27,IF(AND(RIGHT(A6,2) &gt;='Tabla Vencimiento'!$A$28,RIGHT(A6,2) &lt;='Tabla Vencimiento'!$B$28),'Tabla Vencimiento'!$D$28,IF(AND(RIGHT(A6,2) &gt;='Tabla Vencimiento'!$A$29,RIGHT(A6,2) &lt;='Tabla Vencimiento'!$B$29),'Tabla Vencimiento'!$D$29,IF(AND(RIGHT(A6,2) &gt;='Tabla Vencimiento'!$A$30,RIGHT(A6,2) &lt;='Tabla Vencimiento'!$B$30),'Tabla Vencimiento'!$D$30,IF(AND(RIGHT(A6,2) &gt;='Tabla Vencimiento'!$A$31,RIGHT(A6,2) &lt;='Tabla Vencimiento'!$B$31),'Tabla Vencimiento'!$D$31,IF(AND(RIGHT(A6,2) &gt;='Tabla Vencimiento'!$A$32,RIGHT(A6,2) &lt;='Tabla Vencimiento'!$B$32),'Tabla Vencimiento'!$D$32,IF(AND(RIGHT(A6,2) &gt;='Tabla Vencimiento'!$A$33,RIGHT(A6,2) &lt;='Tabla Vencimiento'!$B$33),'Tabla Vencimiento'!$D$33,IF(AND(RIGHT(A6,2) &gt;='Tabla Vencimiento'!$A$34,RIGHT(A6,2) &lt;='Tabla Vencimiento'!$B$34),'Tabla Vencimiento'!$D$34,IF(AND(RIGHT(A6,2) &gt;='Tabla Vencimiento'!$A$35),'Tabla Vencimiento'!$D$35,0))))))))))))))))))))</f>
        <v>45078</v>
      </c>
    </row>
    <row r="7" spans="1:14" x14ac:dyDescent="0.45">
      <c r="A7" s="52">
        <v>901211276</v>
      </c>
      <c r="B7" s="52" t="s">
        <v>157</v>
      </c>
      <c r="C7" s="52" t="s">
        <v>26</v>
      </c>
      <c r="D7" s="52" t="s">
        <v>28</v>
      </c>
      <c r="E7" s="52" t="s">
        <v>85</v>
      </c>
      <c r="F7" s="56" t="b">
        <f ca="1">IFERROR(+IF(MONTH(TODAY())=2,VLOOKUP(RIGHT(A7,1),'Tabla Vencimiento'!$A$3:$B$12,2,IF(MONTH(TODAY())=3,VLOOKUP(RIGHT(A7,1),'Tabla Vencimiento'!$A$3:$C$12,3),IF(MONTH(TODAY())=4,VLOOKUP(RIGHT(A7,1),'Tabla Vencimiento'!$A$3:$D$12,4),IF(MONTH(TODAY())=5,VLOOKUP(RIGHT(A7,1),'Tabla Vencimiento'!$A$3:$E$12,5,0),IF(MONTH(TODAY())=6,VLOOKUP(RIGHT(A7,1),'Tabla Vencimiento'!$A$3:$F$12,6),IF(MONTH(TODAY())=7,VLOOKUP(RIGHT(A7,1),'Tabla Vencimiento'!$A$3:$G$12,7),IF(MONTH(TODAY())=8,VLOOKUP(RIGHT(A7,1),'Tabla Vencimiento'!$A$3:$H$12,8),IF(MONTH(TODAY())=9,VLOOKUP(RIGHT(A7,1),'Tabla Vencimiento'!$A$3:$I$12,9),IF(MONTH(TODAY())=10,VLOOKUP(RIGHT(A7,1),'Tabla Vencimiento'!$A$3:$J$12,10),IF(MONTH(TODAY())=11,VLOOKUP(RIGHT(A7,1),'Tabla Vencimiento'!$A$3:$K$12,11),IF(MONTH(TODAY())=12,VLOOKUP(RIGHT(A7,1),'Tabla Vencimiento'!$A$3:$L$12,12),0)))))))))))),0)</f>
        <v>0</v>
      </c>
      <c r="G7" s="56">
        <f ca="1">IFERROR(+IF(C7="No Responsable", 0,+IF(D7="Tributación Simple", 0,+IF(AND(C7="Bimestral",MONTH(TODAY())-1&lt;=2),VLOOKUP(RIGHT(A7,1),'Tabla Vencimiento'!$A$3:$C$12,3,0),IF(AND(C7="Bimestral",MONTH(TODAY())-1&lt;=4),VLOOKUP(RIGHT(A7,1),'Tabla Vencimiento'!$A$3:$E$12,5,0),IF(AND(C7="Bimestral",MONTH(TODAY())-1&lt;=6),VLOOKUP(RIGHT(A7,1),'Tabla Vencimiento'!$A$3:$G$12,7,0),IF(AND(C7="Bimestral",MONTH(TODAY())-1&lt;=8),VLOOKUP(RIGHT(A7,1),'Tabla Vencimiento'!$A$3:$I$12,9,0),IF(AND(C7="Bimestral",MONTH(TODAY())-1=10),VLOOKUP(RIGHT(A7,1),'Tabla Vencimiento'!$A$3:$K$12,11,0),IF(AND(C7="Bimestral",MONTH(TODAY())-1&lt;=12),VLOOKUP(RIGHT(A7,1),'Tabla Vencimiento'!$A$3:$M$12,13,0),IF(AND(C7="Cuatrimestral",MONTH(TODAY())-1&lt;=4),VLOOKUP(RIGHT(A7,1),'Tabla Vencimiento'!$A$3:$E$12,5,0),IF(AND(C7="Cuatrimestral",MONTH(TODAY())-1&lt;=8),VLOOKUP(RIGHT(A7,1),'Tabla Vencimiento'!$A$3:$I$12,9,0),IF(AND(C7="Cuatrimestral",MONTH(TODAY())-1&lt;=12),VLOOKUP(RIGHT(A7,1),'Tabla Vencimiento'!$A$3:$M$12,13,0),0))))))))))),0)</f>
        <v>45062</v>
      </c>
      <c r="H7" s="57">
        <f ca="1">+IF(AND(D7="Tributación Simple",MONTH(TODAY())=2),VLOOKUP(RIGHT(A7,1),'Tabla Vencimiento'!$I$17:$J$26,2,0),0)</f>
        <v>0</v>
      </c>
      <c r="I7" s="56">
        <f ca="1">+IF(AND(D7="Tributación Simple",MONTH(TODAY())=2),VLOOKUP(RIGHT(A7,1),'Tabla Vencimiento'!$A$39:$G$48,2,0),+IF(AND(D7="Tributación Simple",MONTH(TODAY())=4),VLOOKUP(RIGHT(A7,1),'Tabla Vencimiento'!$A$39:$G$48,3,0),+IF(AND(D7="Tributación Simple",MONTH(TODAY())=6),VLOOKUP(RIGHT(A7,1),'Tabla Vencimiento'!$A$39:$G$48,4,0),+IF(AND(D7="Tributación Simple",MONTH(TODAY())=8),VLOOKUP(RIGHT(A7,1),'Tabla Vencimiento'!$A$39:$G$48,5,0),+IF(AND(D7="Tributación Simple",MONTH(TODAY())=10),VLOOKUP(RIGHT(A7,1),'Tabla Vencimiento'!$A$39:$G$48,6,0),+IF(AND(D7="Tributación Simple",MONTH(TODAY())=12),VLOOKUP(RIGHT(A7,1),'Tabla Vencimiento'!$A$39:$G$48,7,0),0))))))</f>
        <v>0</v>
      </c>
      <c r="J7" s="56">
        <f>+IF(AND(D7="Ordinario",E7="PN"),VLOOKUP(RIGHT(A7,2),'Tabla Vencimiento'!$I$40:$J$139,2,0),+IF(AND(D7="Ordinario",E7="PN"),VLOOKUP(RIGHT(A7,2),'Tabla Vencimiento'!$J$40:$J$139,2,0),+IF(AND(D7="Tributación Simple",E7="PN"),0,+IF(AND(D7="Tributación Simple",E7="PJ"),0,+IF(AND(RIGHT(A7,2)&gt;='Tabla Vencimiento'!$A$16,RIGHT(A7,2)&lt;='Tabla Vencimiento'!$B$16),'Tabla Vencimiento'!$C$16,IF(AND(RIGHT(A7,2)&gt;='Tabla Vencimiento'!$A$17,RIGHT(A7,2)&lt;='Tabla Vencimiento'!$B$17),'Tabla Vencimiento'!$C$17,IF(AND(RIGHT(A7,2)&gt;='Tabla Vencimiento'!$A$18,RIGHT(A7,2)&lt;='Tabla Vencimiento'!$B$18),'Tabla Vencimiento'!$C$18,IF(AND(RIGHT(A7,2)&gt;='Tabla Vencimiento'!$A$19,RIGHT(A7,2)&lt;='Tabla Vencimiento'!$B$19),'Tabla Vencimiento'!$C$19,IF(AND(RIGHT(A7,2)&gt;='Tabla Vencimiento'!$A$20,RIGHT(A7,2)&lt;='Tabla Vencimiento'!$B$20),'Tabla Vencimiento'!$C$20,IF(AND(RIGHT(A7,2)&gt;='Tabla Vencimiento'!$A$21,RIGHT(A7,2)&lt;='Tabla Vencimiento'!$B$21),'Tabla Vencimiento'!$C$21,IF(AND(RIGHT(A7,2)&gt;='Tabla Vencimiento'!$A$22,RIGHT(A7,2)&lt;='Tabla Vencimiento'!$B$22),'Tabla Vencimiento'!$C$22,IF(AND(RIGHT(A7,2)&gt;='Tabla Vencimiento'!$A$23,RIGHT(A7,2)&lt;='Tabla Vencimiento'!$B$23),'Tabla Vencimiento'!$C$23,IF(AND(RIGHT(A7,2)&gt;='Tabla Vencimiento'!$A$24,RIGHT(A7,2)&lt;='Tabla Vencimiento'!$B$24),'Tabla Vencimiento'!$C$24,IF(AND(RIGHT(A7,2)&gt;='Tabla Vencimiento'!$A$25,RIGHT(A7,2)&lt;='Tabla Vencimiento'!$B$25),'Tabla Vencimiento'!$C$25,IF(AND(RIGHT(A7,2)&gt;='Tabla Vencimiento'!$A$26,RIGHT(A7,2)&lt;='Tabla Vencimiento'!$B$26),'Tabla Vencimiento'!$C$26,IF(AND(RIGHT(A7,2)&gt;='Tabla Vencimiento'!$A$27,RIGHT(A7,2)&lt;='Tabla Vencimiento'!$B$27),'Tabla Vencimiento'!$C$27,IF(AND(RIGHT(A7,2)&gt;='Tabla Vencimiento'!$A$28,RIGHT(A7,2)&lt;='Tabla Vencimiento'!$B$28),'Tabla Vencimiento'!$C$28,IF(AND(RIGHT(A7,2)&gt;='Tabla Vencimiento'!$A$29,RIGHT(A7,2)&lt;='Tabla Vencimiento'!$B$29),'Tabla Vencimiento'!$C$29,IF(AND(RIGHT(A7,2)&gt;='Tabla Vencimiento'!$A$30,RIGHT(A7,2)&lt;='Tabla Vencimiento'!$B$30),'Tabla Vencimiento'!$C$30,IF(AND(RIGHT(A7,2)&gt;='Tabla Vencimiento'!$A$31,RIGHT(A7,2)&lt;='Tabla Vencimiento'!$B$31),'Tabla Vencimiento'!$C$31,IF(AND(RIGHT(A7,2)&gt;='Tabla Vencimiento'!$A$32,RIGHT(A7,2)&lt;='Tabla Vencimiento'!$B$32),'Tabla Vencimiento'!$C$32,IF(AND(RIGHT(A7,2)&gt;='Tabla Vencimiento'!$A$33,RIGHT(A7,2)&lt;='Tabla Vencimiento'!$B$33),'Tabla Vencimiento'!$C$33,IF(AND(RIGHT(A7,2)&gt;='Tabla Vencimiento'!$A$34,RIGHT(A7,2)&lt;='Tabla Vencimiento'!$B$34),'Tabla Vencimiento'!$C$34,IF(AND(RIGHT(A7,2)&gt;='Tabla Vencimiento'!$A$35),'Tabla Vencimiento'!$C$35,0))))))))))))))))))))))))</f>
        <v>45048</v>
      </c>
      <c r="K7" s="56">
        <f>+IF((D7="Tributación Simple"),VLOOKUP(RIGHT(A7,1),'Tabla Vencimiento'!$F$17:$G$26,2,0),0)</f>
        <v>0</v>
      </c>
      <c r="L7" s="56">
        <f>+IF(AND(RIGHT(A7,2) &gt;='Tabla Vencimiento'!$A$16,RIGHT(A7,2) &lt;='Tabla Vencimiento'!$B$16),'Tabla Vencimiento'!$D$16,IF(AND(RIGHT(A7,2) &gt;='Tabla Vencimiento'!$A$17,RIGHT(A7,2) &lt;='Tabla Vencimiento'!$B$17),'Tabla Vencimiento'!$D$17,IF(AND(RIGHT(A7,2) &gt;='Tabla Vencimiento'!$A$18,RIGHT(A7,2) &lt;='Tabla Vencimiento'!$B$18),'Tabla Vencimiento'!$D$18,IF(AND(RIGHT(A7,2) &gt;='Tabla Vencimiento'!$A$19,RIGHT(A7,2) &lt;='Tabla Vencimiento'!$B$19),'Tabla Vencimiento'!$D$19,IF(AND(RIGHT(A7,2) &gt;='Tabla Vencimiento'!$A$20,RIGHT(A7,2) &lt;='Tabla Vencimiento'!$B$20),'Tabla Vencimiento'!$D$20,IF(AND(RIGHT(A7,2) &gt;='Tabla Vencimiento'!$A$21,RIGHT(A7,2) &lt;='Tabla Vencimiento'!$B$21),'Tabla Vencimiento'!$D$21,IF(AND(RIGHT(A7,2) &gt;='Tabla Vencimiento'!$A$22,RIGHT(A7,2) &lt;='Tabla Vencimiento'!$B$22),'Tabla Vencimiento'!$D$22,IF(AND(RIGHT(A7,2) &gt;='Tabla Vencimiento'!$A$23,RIGHT(A7,2) &lt;='Tabla Vencimiento'!$B$23),'Tabla Vencimiento'!$D$23,IF(AND(RIGHT(A7,2) &gt;='Tabla Vencimiento'!$A$24,RIGHT(A7,2) &lt;='Tabla Vencimiento'!$B$24),'Tabla Vencimiento'!$D$24,IF(AND(RIGHT(A7,2) &gt;='Tabla Vencimiento'!$A$25,RIGHT(A7,2) &lt;='Tabla Vencimiento'!$B$25),'Tabla Vencimiento'!$D$25,IF(AND(RIGHT(A7,2) &gt;='Tabla Vencimiento'!$A$26,RIGHT(A7,2) &lt;='Tabla Vencimiento'!$B$26),'Tabla Vencimiento'!$D$26,IF(AND(RIGHT(A7,2) &gt;='Tabla Vencimiento'!$A$27,RIGHT(A7,2) &lt;='Tabla Vencimiento'!$B$27),'Tabla Vencimiento'!$D$27,IF(AND(RIGHT(A7,2) &gt;='Tabla Vencimiento'!$A$28,RIGHT(A7,2) &lt;='Tabla Vencimiento'!$B$28),'Tabla Vencimiento'!$D$28,IF(AND(RIGHT(A7,2) &gt;='Tabla Vencimiento'!$A$29,RIGHT(A7,2) &lt;='Tabla Vencimiento'!$B$29),'Tabla Vencimiento'!$D$29,IF(AND(RIGHT(A7,2) &gt;='Tabla Vencimiento'!$A$30,RIGHT(A7,2) &lt;='Tabla Vencimiento'!$B$30),'Tabla Vencimiento'!$D$30,IF(AND(RIGHT(A7,2) &gt;='Tabla Vencimiento'!$A$31,RIGHT(A7,2) &lt;='Tabla Vencimiento'!$B$31),'Tabla Vencimiento'!$D$31,IF(AND(RIGHT(A7,2) &gt;='Tabla Vencimiento'!$A$32,RIGHT(A7,2) &lt;='Tabla Vencimiento'!$B$32),'Tabla Vencimiento'!$D$32,IF(AND(RIGHT(A7,2) &gt;='Tabla Vencimiento'!$A$33,RIGHT(A7,2) &lt;='Tabla Vencimiento'!$B$33),'Tabla Vencimiento'!$D$33,IF(AND(RIGHT(A7,2) &gt;='Tabla Vencimiento'!$A$34,RIGHT(A7,2) &lt;='Tabla Vencimiento'!$B$34),'Tabla Vencimiento'!$D$34,IF(AND(RIGHT(A7,2) &gt;='Tabla Vencimiento'!$A$35),'Tabla Vencimiento'!$D$35,0))))))))))))))))))))</f>
        <v>45084</v>
      </c>
    </row>
    <row r="8" spans="1:14" x14ac:dyDescent="0.45">
      <c r="A8" s="52">
        <v>98570252</v>
      </c>
      <c r="B8" s="52" t="s">
        <v>158</v>
      </c>
      <c r="C8" s="52" t="s">
        <v>25</v>
      </c>
      <c r="D8" s="52" t="s">
        <v>28</v>
      </c>
      <c r="E8" s="52" t="s">
        <v>84</v>
      </c>
      <c r="F8" s="56" t="b">
        <f ca="1">IFERROR(+IF(MONTH(TODAY())=2,VLOOKUP(RIGHT(A8,1),'Tabla Vencimiento'!$A$3:$B$12,2,IF(MONTH(TODAY())=3,VLOOKUP(RIGHT(A8,1),'Tabla Vencimiento'!$A$3:$C$12,3),IF(MONTH(TODAY())=4,VLOOKUP(RIGHT(A8,1),'Tabla Vencimiento'!$A$3:$D$12,4),IF(MONTH(TODAY())=5,VLOOKUP(RIGHT(A8,1),'Tabla Vencimiento'!$A$3:$E$12,5,0),IF(MONTH(TODAY())=6,VLOOKUP(RIGHT(A8,1),'Tabla Vencimiento'!$A$3:$F$12,6),IF(MONTH(TODAY())=7,VLOOKUP(RIGHT(A8,1),'Tabla Vencimiento'!$A$3:$G$12,7),IF(MONTH(TODAY())=8,VLOOKUP(RIGHT(A8,1),'Tabla Vencimiento'!$A$3:$H$12,8),IF(MONTH(TODAY())=9,VLOOKUP(RIGHT(A8,1),'Tabla Vencimiento'!$A$3:$I$12,9),IF(MONTH(TODAY())=10,VLOOKUP(RIGHT(A8,1),'Tabla Vencimiento'!$A$3:$J$12,10),IF(MONTH(TODAY())=11,VLOOKUP(RIGHT(A8,1),'Tabla Vencimiento'!$A$3:$K$12,11),IF(MONTH(TODAY())=12,VLOOKUP(RIGHT(A8,1),'Tabla Vencimiento'!$A$3:$L$12,12),0)))))))))))),0)</f>
        <v>0</v>
      </c>
      <c r="G8" s="56">
        <f ca="1">IFERROR(+IF(C8="No Responsable", 0,+IF(D8="Tributación Simple", 0,+IF(AND(C8="Bimestral",MONTH(TODAY())-1&lt;=2),VLOOKUP(RIGHT(A8,1),'Tabla Vencimiento'!$A$3:$C$12,3,0),IF(AND(C8="Bimestral",MONTH(TODAY())-1&lt;=4),VLOOKUP(RIGHT(A8,1),'Tabla Vencimiento'!$A$3:$E$12,5,0),IF(AND(C8="Bimestral",MONTH(TODAY())-1&lt;=6),VLOOKUP(RIGHT(A8,1),'Tabla Vencimiento'!$A$3:$G$12,7,0),IF(AND(C8="Bimestral",MONTH(TODAY())-1&lt;=8),VLOOKUP(RIGHT(A8,1),'Tabla Vencimiento'!$A$3:$I$12,9,0),IF(AND(C8="Bimestral",MONTH(TODAY())-1=10),VLOOKUP(RIGHT(A8,1),'Tabla Vencimiento'!$A$3:$K$12,11,0),IF(AND(C8="Bimestral",MONTH(TODAY())-1&lt;=12),VLOOKUP(RIGHT(A8,1),'Tabla Vencimiento'!$A$3:$M$12,13,0),IF(AND(C8="Cuatrimestral",MONTH(TODAY())-1&lt;=4),VLOOKUP(RIGHT(A8,1),'Tabla Vencimiento'!$A$3:$E$12,5,0),IF(AND(C8="Cuatrimestral",MONTH(TODAY())-1&lt;=8),VLOOKUP(RIGHT(A8,1),'Tabla Vencimiento'!$A$3:$I$12,9,0),IF(AND(C8="Cuatrimestral",MONTH(TODAY())-1&lt;=12),VLOOKUP(RIGHT(A8,1),'Tabla Vencimiento'!$A$3:$M$12,13,0),0))))))))))),0)</f>
        <v>45056</v>
      </c>
      <c r="H8" s="57">
        <f ca="1">+IF(AND(D8="Tributación Simple",MONTH(TODAY())=2),VLOOKUP(RIGHT(A8,1),'Tabla Vencimiento'!$I$17:$J$26,2,0),0)</f>
        <v>0</v>
      </c>
      <c r="I8" s="56">
        <f ca="1">+IF(AND(D8="Tributación Simple",MONTH(TODAY())=2),VLOOKUP(RIGHT(A8,1),'Tabla Vencimiento'!$A$39:$G$48,2,0),+IF(AND(D8="Tributación Simple",MONTH(TODAY())=4),VLOOKUP(RIGHT(A8,1),'Tabla Vencimiento'!$A$39:$G$48,3,0),+IF(AND(D8="Tributación Simple",MONTH(TODAY())=6),VLOOKUP(RIGHT(A8,1),'Tabla Vencimiento'!$A$39:$G$48,4,0),+IF(AND(D8="Tributación Simple",MONTH(TODAY())=8),VLOOKUP(RIGHT(A8,1),'Tabla Vencimiento'!$A$39:$G$48,5,0),+IF(AND(D8="Tributación Simple",MONTH(TODAY())=10),VLOOKUP(RIGHT(A8,1),'Tabla Vencimiento'!$A$39:$G$48,6,0),+IF(AND(D8="Tributación Simple",MONTH(TODAY())=12),VLOOKUP(RIGHT(A8,1),'Tabla Vencimiento'!$A$39:$G$48,7,0),0))))))</f>
        <v>0</v>
      </c>
      <c r="J8" s="56">
        <f>+IF(AND(D8="Ordinario",E8="PN"),VLOOKUP(RIGHT(A8,2),'Tabla Vencimiento'!$I$40:$J$139,2,0),+IF(AND(D8="Ordinario",E8="PN"),VLOOKUP(RIGHT(A8,2),'Tabla Vencimiento'!$J$40:$J$139,2,0),+IF(AND(D8="Tributación Simple",E8="PN"),0,+IF(AND(D8="Tributación Simple",E8="PJ"),0,+IF(AND(RIGHT(A8,2)&gt;='Tabla Vencimiento'!$A$16,RIGHT(A8,2)&lt;='Tabla Vencimiento'!$B$16),'Tabla Vencimiento'!$C$16,IF(AND(RIGHT(A8,2)&gt;='Tabla Vencimiento'!$A$17,RIGHT(A8,2)&lt;='Tabla Vencimiento'!$B$17),'Tabla Vencimiento'!$C$17,IF(AND(RIGHT(A8,2)&gt;='Tabla Vencimiento'!$A$18,RIGHT(A8,2)&lt;='Tabla Vencimiento'!$B$18),'Tabla Vencimiento'!$C$18,IF(AND(RIGHT(A8,2)&gt;='Tabla Vencimiento'!$A$19,RIGHT(A8,2)&lt;='Tabla Vencimiento'!$B$19),'Tabla Vencimiento'!$C$19,IF(AND(RIGHT(A8,2)&gt;='Tabla Vencimiento'!$A$20,RIGHT(A8,2)&lt;='Tabla Vencimiento'!$B$20),'Tabla Vencimiento'!$C$20,IF(AND(RIGHT(A8,2)&gt;='Tabla Vencimiento'!$A$21,RIGHT(A8,2)&lt;='Tabla Vencimiento'!$B$21),'Tabla Vencimiento'!$C$21,IF(AND(RIGHT(A8,2)&gt;='Tabla Vencimiento'!$A$22,RIGHT(A8,2)&lt;='Tabla Vencimiento'!$B$22),'Tabla Vencimiento'!$C$22,IF(AND(RIGHT(A8,2)&gt;='Tabla Vencimiento'!$A$23,RIGHT(A8,2)&lt;='Tabla Vencimiento'!$B$23),'Tabla Vencimiento'!$C$23,IF(AND(RIGHT(A8,2)&gt;='Tabla Vencimiento'!$A$24,RIGHT(A8,2)&lt;='Tabla Vencimiento'!$B$24),'Tabla Vencimiento'!$C$24,IF(AND(RIGHT(A8,2)&gt;='Tabla Vencimiento'!$A$25,RIGHT(A8,2)&lt;='Tabla Vencimiento'!$B$25),'Tabla Vencimiento'!$C$25,IF(AND(RIGHT(A8,2)&gt;='Tabla Vencimiento'!$A$26,RIGHT(A8,2)&lt;='Tabla Vencimiento'!$B$26),'Tabla Vencimiento'!$C$26,IF(AND(RIGHT(A8,2)&gt;='Tabla Vencimiento'!$A$27,RIGHT(A8,2)&lt;='Tabla Vencimiento'!$B$27),'Tabla Vencimiento'!$C$27,IF(AND(RIGHT(A8,2)&gt;='Tabla Vencimiento'!$A$28,RIGHT(A8,2)&lt;='Tabla Vencimiento'!$B$28),'Tabla Vencimiento'!$C$28,IF(AND(RIGHT(A8,2)&gt;='Tabla Vencimiento'!$A$29,RIGHT(A8,2)&lt;='Tabla Vencimiento'!$B$29),'Tabla Vencimiento'!$C$29,IF(AND(RIGHT(A8,2)&gt;='Tabla Vencimiento'!$A$30,RIGHT(A8,2)&lt;='Tabla Vencimiento'!$B$30),'Tabla Vencimiento'!$C$30,IF(AND(RIGHT(A8,2)&gt;='Tabla Vencimiento'!$A$31,RIGHT(A8,2)&lt;='Tabla Vencimiento'!$B$31),'Tabla Vencimiento'!$C$31,IF(AND(RIGHT(A8,2)&gt;='Tabla Vencimiento'!$A$32,RIGHT(A8,2)&lt;='Tabla Vencimiento'!$B$32),'Tabla Vencimiento'!$C$32,IF(AND(RIGHT(A8,2)&gt;='Tabla Vencimiento'!$A$33,RIGHT(A8,2)&lt;='Tabla Vencimiento'!$B$33),'Tabla Vencimiento'!$C$33,IF(AND(RIGHT(A8,2)&gt;='Tabla Vencimiento'!$A$34,RIGHT(A8,2)&lt;='Tabla Vencimiento'!$B$34),'Tabla Vencimiento'!$C$34,IF(AND(RIGHT(A8,2)&gt;='Tabla Vencimiento'!$A$35),'Tabla Vencimiento'!$C$35,0))))))))))))))))))))))))</f>
        <v>45183</v>
      </c>
      <c r="K8" s="56">
        <f>+IF((D8="Tributación Simple"),VLOOKUP(RIGHT(A8,1),'Tabla Vencimiento'!$F$17:$G$26,2,0),0)</f>
        <v>0</v>
      </c>
      <c r="L8" s="56">
        <f>+IF(AND(RIGHT(A8,2) &gt;='Tabla Vencimiento'!$A$16,RIGHT(A8,2) &lt;='Tabla Vencimiento'!$B$16),'Tabla Vencimiento'!$D$16,IF(AND(RIGHT(A8,2) &gt;='Tabla Vencimiento'!$A$17,RIGHT(A8,2) &lt;='Tabla Vencimiento'!$B$17),'Tabla Vencimiento'!$D$17,IF(AND(RIGHT(A8,2) &gt;='Tabla Vencimiento'!$A$18,RIGHT(A8,2) &lt;='Tabla Vencimiento'!$B$18),'Tabla Vencimiento'!$D$18,IF(AND(RIGHT(A8,2) &gt;='Tabla Vencimiento'!$A$19,RIGHT(A8,2) &lt;='Tabla Vencimiento'!$B$19),'Tabla Vencimiento'!$D$19,IF(AND(RIGHT(A8,2) &gt;='Tabla Vencimiento'!$A$20,RIGHT(A8,2) &lt;='Tabla Vencimiento'!$B$20),'Tabla Vencimiento'!$D$20,IF(AND(RIGHT(A8,2) &gt;='Tabla Vencimiento'!$A$21,RIGHT(A8,2) &lt;='Tabla Vencimiento'!$B$21),'Tabla Vencimiento'!$D$21,IF(AND(RIGHT(A8,2) &gt;='Tabla Vencimiento'!$A$22,RIGHT(A8,2) &lt;='Tabla Vencimiento'!$B$22),'Tabla Vencimiento'!$D$22,IF(AND(RIGHT(A8,2) &gt;='Tabla Vencimiento'!$A$23,RIGHT(A8,2) &lt;='Tabla Vencimiento'!$B$23),'Tabla Vencimiento'!$D$23,IF(AND(RIGHT(A8,2) &gt;='Tabla Vencimiento'!$A$24,RIGHT(A8,2) &lt;='Tabla Vencimiento'!$B$24),'Tabla Vencimiento'!$D$24,IF(AND(RIGHT(A8,2) &gt;='Tabla Vencimiento'!$A$25,RIGHT(A8,2) &lt;='Tabla Vencimiento'!$B$25),'Tabla Vencimiento'!$D$25,IF(AND(RIGHT(A8,2) &gt;='Tabla Vencimiento'!$A$26,RIGHT(A8,2) &lt;='Tabla Vencimiento'!$B$26),'Tabla Vencimiento'!$D$26,IF(AND(RIGHT(A8,2) &gt;='Tabla Vencimiento'!$A$27,RIGHT(A8,2) &lt;='Tabla Vencimiento'!$B$27),'Tabla Vencimiento'!$D$27,IF(AND(RIGHT(A8,2) &gt;='Tabla Vencimiento'!$A$28,RIGHT(A8,2) &lt;='Tabla Vencimiento'!$B$28),'Tabla Vencimiento'!$D$28,IF(AND(RIGHT(A8,2) &gt;='Tabla Vencimiento'!$A$29,RIGHT(A8,2) &lt;='Tabla Vencimiento'!$B$29),'Tabla Vencimiento'!$D$29,IF(AND(RIGHT(A8,2) &gt;='Tabla Vencimiento'!$A$30,RIGHT(A8,2) &lt;='Tabla Vencimiento'!$B$30),'Tabla Vencimiento'!$D$30,IF(AND(RIGHT(A8,2) &gt;='Tabla Vencimiento'!$A$31,RIGHT(A8,2) &lt;='Tabla Vencimiento'!$B$31),'Tabla Vencimiento'!$D$31,IF(AND(RIGHT(A8,2) &gt;='Tabla Vencimiento'!$A$32,RIGHT(A8,2) &lt;='Tabla Vencimiento'!$B$32),'Tabla Vencimiento'!$D$32,IF(AND(RIGHT(A8,2) &gt;='Tabla Vencimiento'!$A$33,RIGHT(A8,2) &lt;='Tabla Vencimiento'!$B$33),'Tabla Vencimiento'!$D$33,IF(AND(RIGHT(A8,2) &gt;='Tabla Vencimiento'!$A$34,RIGHT(A8,2) &lt;='Tabla Vencimiento'!$B$34),'Tabla Vencimiento'!$D$34,IF(AND(RIGHT(A8,2) &gt;='Tabla Vencimiento'!$A$35),'Tabla Vencimiento'!$D$35,0))))))))))))))))))))</f>
        <v>45077</v>
      </c>
    </row>
    <row r="9" spans="1:14" x14ac:dyDescent="0.45">
      <c r="A9" s="52">
        <v>901321335</v>
      </c>
      <c r="B9" s="52" t="s">
        <v>159</v>
      </c>
      <c r="C9" s="52" t="s">
        <v>25</v>
      </c>
      <c r="D9" s="52" t="s">
        <v>28</v>
      </c>
      <c r="E9" s="52" t="s">
        <v>85</v>
      </c>
      <c r="F9" s="56" t="b">
        <f ca="1">IFERROR(+IF(MONTH(TODAY())=2,VLOOKUP(RIGHT(A9,1),'Tabla Vencimiento'!$A$3:$B$12,2,IF(MONTH(TODAY())=3,VLOOKUP(RIGHT(A9,1),'Tabla Vencimiento'!$A$3:$C$12,3),IF(MONTH(TODAY())=4,VLOOKUP(RIGHT(A9,1),'Tabla Vencimiento'!$A$3:$D$12,4),IF(MONTH(TODAY())=5,VLOOKUP(RIGHT(A9,1),'Tabla Vencimiento'!$A$3:$E$12,5,0),IF(MONTH(TODAY())=6,VLOOKUP(RIGHT(A9,1),'Tabla Vencimiento'!$A$3:$F$12,6),IF(MONTH(TODAY())=7,VLOOKUP(RIGHT(A9,1),'Tabla Vencimiento'!$A$3:$G$12,7),IF(MONTH(TODAY())=8,VLOOKUP(RIGHT(A9,1),'Tabla Vencimiento'!$A$3:$H$12,8),IF(MONTH(TODAY())=9,VLOOKUP(RIGHT(A9,1),'Tabla Vencimiento'!$A$3:$I$12,9),IF(MONTH(TODAY())=10,VLOOKUP(RIGHT(A9,1),'Tabla Vencimiento'!$A$3:$J$12,10),IF(MONTH(TODAY())=11,VLOOKUP(RIGHT(A9,1),'Tabla Vencimiento'!$A$3:$K$12,11),IF(MONTH(TODAY())=12,VLOOKUP(RIGHT(A9,1),'Tabla Vencimiento'!$A$3:$L$12,12),0)))))))))))),0)</f>
        <v>0</v>
      </c>
      <c r="G9" s="56">
        <f ca="1">IFERROR(+IF(C9="No Responsable", 0,+IF(D9="Tributación Simple", 0,+IF(AND(C9="Bimestral",MONTH(TODAY())-1&lt;=2),VLOOKUP(RIGHT(A9,1),'Tabla Vencimiento'!$A$3:$C$12,3,0),IF(AND(C9="Bimestral",MONTH(TODAY())-1&lt;=4),VLOOKUP(RIGHT(A9,1),'Tabla Vencimiento'!$A$3:$E$12,5,0),IF(AND(C9="Bimestral",MONTH(TODAY())-1&lt;=6),VLOOKUP(RIGHT(A9,1),'Tabla Vencimiento'!$A$3:$G$12,7,0),IF(AND(C9="Bimestral",MONTH(TODAY())-1&lt;=8),VLOOKUP(RIGHT(A9,1),'Tabla Vencimiento'!$A$3:$I$12,9,0),IF(AND(C9="Bimestral",MONTH(TODAY())-1=10),VLOOKUP(RIGHT(A9,1),'Tabla Vencimiento'!$A$3:$K$12,11,0),IF(AND(C9="Bimestral",MONTH(TODAY())-1&lt;=12),VLOOKUP(RIGHT(A9,1),'Tabla Vencimiento'!$A$3:$M$12,13,0),IF(AND(C9="Cuatrimestral",MONTH(TODAY())-1&lt;=4),VLOOKUP(RIGHT(A9,1),'Tabla Vencimiento'!$A$3:$E$12,5,0),IF(AND(C9="Cuatrimestral",MONTH(TODAY())-1&lt;=8),VLOOKUP(RIGHT(A9,1),'Tabla Vencimiento'!$A$3:$I$12,9,0),IF(AND(C9="Cuatrimestral",MONTH(TODAY())-1&lt;=12),VLOOKUP(RIGHT(A9,1),'Tabla Vencimiento'!$A$3:$M$12,13,0),0))))))))))),0)</f>
        <v>45061</v>
      </c>
      <c r="H9" s="57">
        <f ca="1">+IF(AND(D9="Tributación Simple",MONTH(TODAY())=2),VLOOKUP(RIGHT(A9,1),'Tabla Vencimiento'!$I$17:$J$26,2,0),0)</f>
        <v>0</v>
      </c>
      <c r="I9" s="56">
        <f ca="1">+IF(AND(D9="Tributación Simple",MONTH(TODAY())=2),VLOOKUP(RIGHT(A9,1),'Tabla Vencimiento'!$A$39:$G$48,2,0),+IF(AND(D9="Tributación Simple",MONTH(TODAY())=4),VLOOKUP(RIGHT(A9,1),'Tabla Vencimiento'!$A$39:$G$48,3,0),+IF(AND(D9="Tributación Simple",MONTH(TODAY())=6),VLOOKUP(RIGHT(A9,1),'Tabla Vencimiento'!$A$39:$G$48,4,0),+IF(AND(D9="Tributación Simple",MONTH(TODAY())=8),VLOOKUP(RIGHT(A9,1),'Tabla Vencimiento'!$A$39:$G$48,5,0),+IF(AND(D9="Tributación Simple",MONTH(TODAY())=10),VLOOKUP(RIGHT(A9,1),'Tabla Vencimiento'!$A$39:$G$48,6,0),+IF(AND(D9="Tributación Simple",MONTH(TODAY())=12),VLOOKUP(RIGHT(A9,1),'Tabla Vencimiento'!$A$39:$G$48,7,0),0))))))</f>
        <v>0</v>
      </c>
      <c r="J9" s="56">
        <f>+IF(AND(D9="Ordinario",E9="PN"),VLOOKUP(RIGHT(A9,2),'Tabla Vencimiento'!$I$40:$J$139,2,0),+IF(AND(D9="Ordinario",E9="PN"),VLOOKUP(RIGHT(A9,2),'Tabla Vencimiento'!$J$40:$J$139,2,0),+IF(AND(D9="Tributación Simple",E9="PN"),0,+IF(AND(D9="Tributación Simple",E9="PJ"),0,+IF(AND(RIGHT(A9,2)&gt;='Tabla Vencimiento'!$A$16,RIGHT(A9,2)&lt;='Tabla Vencimiento'!$B$16),'Tabla Vencimiento'!$C$16,IF(AND(RIGHT(A9,2)&gt;='Tabla Vencimiento'!$A$17,RIGHT(A9,2)&lt;='Tabla Vencimiento'!$B$17),'Tabla Vencimiento'!$C$17,IF(AND(RIGHT(A9,2)&gt;='Tabla Vencimiento'!$A$18,RIGHT(A9,2)&lt;='Tabla Vencimiento'!$B$18),'Tabla Vencimiento'!$C$18,IF(AND(RIGHT(A9,2)&gt;='Tabla Vencimiento'!$A$19,RIGHT(A9,2)&lt;='Tabla Vencimiento'!$B$19),'Tabla Vencimiento'!$C$19,IF(AND(RIGHT(A9,2)&gt;='Tabla Vencimiento'!$A$20,RIGHT(A9,2)&lt;='Tabla Vencimiento'!$B$20),'Tabla Vencimiento'!$C$20,IF(AND(RIGHT(A9,2)&gt;='Tabla Vencimiento'!$A$21,RIGHT(A9,2)&lt;='Tabla Vencimiento'!$B$21),'Tabla Vencimiento'!$C$21,IF(AND(RIGHT(A9,2)&gt;='Tabla Vencimiento'!$A$22,RIGHT(A9,2)&lt;='Tabla Vencimiento'!$B$22),'Tabla Vencimiento'!$C$22,IF(AND(RIGHT(A9,2)&gt;='Tabla Vencimiento'!$A$23,RIGHT(A9,2)&lt;='Tabla Vencimiento'!$B$23),'Tabla Vencimiento'!$C$23,IF(AND(RIGHT(A9,2)&gt;='Tabla Vencimiento'!$A$24,RIGHT(A9,2)&lt;='Tabla Vencimiento'!$B$24),'Tabla Vencimiento'!$C$24,IF(AND(RIGHT(A9,2)&gt;='Tabla Vencimiento'!$A$25,RIGHT(A9,2)&lt;='Tabla Vencimiento'!$B$25),'Tabla Vencimiento'!$C$25,IF(AND(RIGHT(A9,2)&gt;='Tabla Vencimiento'!$A$26,RIGHT(A9,2)&lt;='Tabla Vencimiento'!$B$26),'Tabla Vencimiento'!$C$26,IF(AND(RIGHT(A9,2)&gt;='Tabla Vencimiento'!$A$27,RIGHT(A9,2)&lt;='Tabla Vencimiento'!$B$27),'Tabla Vencimiento'!$C$27,IF(AND(RIGHT(A9,2)&gt;='Tabla Vencimiento'!$A$28,RIGHT(A9,2)&lt;='Tabla Vencimiento'!$B$28),'Tabla Vencimiento'!$C$28,IF(AND(RIGHT(A9,2)&gt;='Tabla Vencimiento'!$A$29,RIGHT(A9,2)&lt;='Tabla Vencimiento'!$B$29),'Tabla Vencimiento'!$C$29,IF(AND(RIGHT(A9,2)&gt;='Tabla Vencimiento'!$A$30,RIGHT(A9,2)&lt;='Tabla Vencimiento'!$B$30),'Tabla Vencimiento'!$C$30,IF(AND(RIGHT(A9,2)&gt;='Tabla Vencimiento'!$A$31,RIGHT(A9,2)&lt;='Tabla Vencimiento'!$B$31),'Tabla Vencimiento'!$C$31,IF(AND(RIGHT(A9,2)&gt;='Tabla Vencimiento'!$A$32,RIGHT(A9,2)&lt;='Tabla Vencimiento'!$B$32),'Tabla Vencimiento'!$C$32,IF(AND(RIGHT(A9,2)&gt;='Tabla Vencimiento'!$A$33,RIGHT(A9,2)&lt;='Tabla Vencimiento'!$B$33),'Tabla Vencimiento'!$C$33,IF(AND(RIGHT(A9,2)&gt;='Tabla Vencimiento'!$A$34,RIGHT(A9,2)&lt;='Tabla Vencimiento'!$B$34),'Tabla Vencimiento'!$C$34,IF(AND(RIGHT(A9,2)&gt;='Tabla Vencimiento'!$A$35),'Tabla Vencimiento'!$C$35,0))))))))))))))))))))))))</f>
        <v>45034</v>
      </c>
      <c r="K9" s="56">
        <f>+IF((D9="Tributación Simple"),VLOOKUP(RIGHT(A9,1),'Tabla Vencimiento'!$F$17:$G$26,2,0),0)</f>
        <v>0</v>
      </c>
      <c r="L9" s="56">
        <f>+IF(AND(RIGHT(A9,2) &gt;='Tabla Vencimiento'!$A$16,RIGHT(A9,2) &lt;='Tabla Vencimiento'!$B$16),'Tabla Vencimiento'!$D$16,IF(AND(RIGHT(A9,2) &gt;='Tabla Vencimiento'!$A$17,RIGHT(A9,2) &lt;='Tabla Vencimiento'!$B$17),'Tabla Vencimiento'!$D$17,IF(AND(RIGHT(A9,2) &gt;='Tabla Vencimiento'!$A$18,RIGHT(A9,2) &lt;='Tabla Vencimiento'!$B$18),'Tabla Vencimiento'!$D$18,IF(AND(RIGHT(A9,2) &gt;='Tabla Vencimiento'!$A$19,RIGHT(A9,2) &lt;='Tabla Vencimiento'!$B$19),'Tabla Vencimiento'!$D$19,IF(AND(RIGHT(A9,2) &gt;='Tabla Vencimiento'!$A$20,RIGHT(A9,2) &lt;='Tabla Vencimiento'!$B$20),'Tabla Vencimiento'!$D$20,IF(AND(RIGHT(A9,2) &gt;='Tabla Vencimiento'!$A$21,RIGHT(A9,2) &lt;='Tabla Vencimiento'!$B$21),'Tabla Vencimiento'!$D$21,IF(AND(RIGHT(A9,2) &gt;='Tabla Vencimiento'!$A$22,RIGHT(A9,2) &lt;='Tabla Vencimiento'!$B$22),'Tabla Vencimiento'!$D$22,IF(AND(RIGHT(A9,2) &gt;='Tabla Vencimiento'!$A$23,RIGHT(A9,2) &lt;='Tabla Vencimiento'!$B$23),'Tabla Vencimiento'!$D$23,IF(AND(RIGHT(A9,2) &gt;='Tabla Vencimiento'!$A$24,RIGHT(A9,2) &lt;='Tabla Vencimiento'!$B$24),'Tabla Vencimiento'!$D$24,IF(AND(RIGHT(A9,2) &gt;='Tabla Vencimiento'!$A$25,RIGHT(A9,2) &lt;='Tabla Vencimiento'!$B$25),'Tabla Vencimiento'!$D$25,IF(AND(RIGHT(A9,2) &gt;='Tabla Vencimiento'!$A$26,RIGHT(A9,2) &lt;='Tabla Vencimiento'!$B$26),'Tabla Vencimiento'!$D$26,IF(AND(RIGHT(A9,2) &gt;='Tabla Vencimiento'!$A$27,RIGHT(A9,2) &lt;='Tabla Vencimiento'!$B$27),'Tabla Vencimiento'!$D$27,IF(AND(RIGHT(A9,2) &gt;='Tabla Vencimiento'!$A$28,RIGHT(A9,2) &lt;='Tabla Vencimiento'!$B$28),'Tabla Vencimiento'!$D$28,IF(AND(RIGHT(A9,2) &gt;='Tabla Vencimiento'!$A$29,RIGHT(A9,2) &lt;='Tabla Vencimiento'!$B$29),'Tabla Vencimiento'!$D$29,IF(AND(RIGHT(A9,2) &gt;='Tabla Vencimiento'!$A$30,RIGHT(A9,2) &lt;='Tabla Vencimiento'!$B$30),'Tabla Vencimiento'!$D$30,IF(AND(RIGHT(A9,2) &gt;='Tabla Vencimiento'!$A$31,RIGHT(A9,2) &lt;='Tabla Vencimiento'!$B$31),'Tabla Vencimiento'!$D$31,IF(AND(RIGHT(A9,2) &gt;='Tabla Vencimiento'!$A$32,RIGHT(A9,2) &lt;='Tabla Vencimiento'!$B$32),'Tabla Vencimiento'!$D$32,IF(AND(RIGHT(A9,2) &gt;='Tabla Vencimiento'!$A$33,RIGHT(A9,2) &lt;='Tabla Vencimiento'!$B$33),'Tabla Vencimiento'!$D$33,IF(AND(RIGHT(A9,2) &gt;='Tabla Vencimiento'!$A$34,RIGHT(A9,2) &lt;='Tabla Vencimiento'!$B$34),'Tabla Vencimiento'!$D$34,IF(AND(RIGHT(A9,2) &gt;='Tabla Vencimiento'!$A$35),'Tabla Vencimiento'!$D$35,0))))))))))))))))))))</f>
        <v>45071</v>
      </c>
    </row>
    <row r="10" spans="1:14" x14ac:dyDescent="0.45">
      <c r="A10" s="52">
        <v>8398230</v>
      </c>
      <c r="B10" s="52" t="s">
        <v>160</v>
      </c>
      <c r="C10" s="52" t="s">
        <v>25</v>
      </c>
      <c r="D10" s="52" t="s">
        <v>28</v>
      </c>
      <c r="E10" s="52" t="s">
        <v>84</v>
      </c>
      <c r="F10" s="56" t="b">
        <f ca="1">IFERROR(+IF(MONTH(TODAY())=2,VLOOKUP(RIGHT(A10,1),'Tabla Vencimiento'!$A$3:$B$12,2,IF(MONTH(TODAY())=3,VLOOKUP(RIGHT(A10,1),'Tabla Vencimiento'!$A$3:$C$12,3),IF(MONTH(TODAY())=4,VLOOKUP(RIGHT(A10,1),'Tabla Vencimiento'!$A$3:$D$12,4),IF(MONTH(TODAY())=5,VLOOKUP(RIGHT(A10,1),'Tabla Vencimiento'!$A$3:$E$12,5,0),IF(MONTH(TODAY())=6,VLOOKUP(RIGHT(A10,1),'Tabla Vencimiento'!$A$3:$F$12,6),IF(MONTH(TODAY())=7,VLOOKUP(RIGHT(A10,1),'Tabla Vencimiento'!$A$3:$G$12,7),IF(MONTH(TODAY())=8,VLOOKUP(RIGHT(A10,1),'Tabla Vencimiento'!$A$3:$H$12,8),IF(MONTH(TODAY())=9,VLOOKUP(RIGHT(A10,1),'Tabla Vencimiento'!$A$3:$I$12,9),IF(MONTH(TODAY())=10,VLOOKUP(RIGHT(A10,1),'Tabla Vencimiento'!$A$3:$J$12,10),IF(MONTH(TODAY())=11,VLOOKUP(RIGHT(A10,1),'Tabla Vencimiento'!$A$3:$K$12,11),IF(MONTH(TODAY())=12,VLOOKUP(RIGHT(A10,1),'Tabla Vencimiento'!$A$3:$L$12,12),0)))))))))))),0)</f>
        <v>0</v>
      </c>
      <c r="G10" s="56">
        <f ca="1">IFERROR(+IF(C10="No Responsable", 0,+IF(D10="Tributación Simple", 0,+IF(AND(C10="Bimestral",MONTH(TODAY())-1&lt;=2),VLOOKUP(RIGHT(A10,1),'Tabla Vencimiento'!$A$3:$C$12,3,0),IF(AND(C10="Bimestral",MONTH(TODAY())-1&lt;=4),VLOOKUP(RIGHT(A10,1),'Tabla Vencimiento'!$A$3:$E$12,5,0),IF(AND(C10="Bimestral",MONTH(TODAY())-1&lt;=6),VLOOKUP(RIGHT(A10,1),'Tabla Vencimiento'!$A$3:$G$12,7,0),IF(AND(C10="Bimestral",MONTH(TODAY())-1&lt;=8),VLOOKUP(RIGHT(A10,1),'Tabla Vencimiento'!$A$3:$I$12,9,0),IF(AND(C10="Bimestral",MONTH(TODAY())-1=10),VLOOKUP(RIGHT(A10,1),'Tabla Vencimiento'!$A$3:$K$12,11,0),IF(AND(C10="Bimestral",MONTH(TODAY())-1&lt;=12),VLOOKUP(RIGHT(A10,1),'Tabla Vencimiento'!$A$3:$M$12,13,0),IF(AND(C10="Cuatrimestral",MONTH(TODAY())-1&lt;=4),VLOOKUP(RIGHT(A10,1),'Tabla Vencimiento'!$A$3:$E$12,5,0),IF(AND(C10="Cuatrimestral",MONTH(TODAY())-1&lt;=8),VLOOKUP(RIGHT(A10,1),'Tabla Vencimiento'!$A$3:$I$12,9,0),IF(AND(C10="Cuatrimestral",MONTH(TODAY())-1&lt;=12),VLOOKUP(RIGHT(A10,1),'Tabla Vencimiento'!$A$3:$M$12,13,0),0))))))))))),0)</f>
        <v>45069</v>
      </c>
      <c r="H10" s="57">
        <f ca="1">+IF(AND(D10="Tributación Simple",MONTH(TODAY())=2),VLOOKUP(RIGHT(A10,1),'Tabla Vencimiento'!$I$17:$J$26,2,0),0)</f>
        <v>0</v>
      </c>
      <c r="I10" s="56">
        <f ca="1">+IF(AND(D10="Tributación Simple",MONTH(TODAY())=2),VLOOKUP(RIGHT(A10,1),'Tabla Vencimiento'!$A$39:$G$48,2,0),+IF(AND(D10="Tributación Simple",MONTH(TODAY())=4),VLOOKUP(RIGHT(A10,1),'Tabla Vencimiento'!$A$39:$G$48,3,0),+IF(AND(D10="Tributación Simple",MONTH(TODAY())=6),VLOOKUP(RIGHT(A10,1),'Tabla Vencimiento'!$A$39:$G$48,4,0),+IF(AND(D10="Tributación Simple",MONTH(TODAY())=8),VLOOKUP(RIGHT(A10,1),'Tabla Vencimiento'!$A$39:$G$48,5,0),+IF(AND(D10="Tributación Simple",MONTH(TODAY())=10),VLOOKUP(RIGHT(A10,1),'Tabla Vencimiento'!$A$39:$G$48,6,0),+IF(AND(D10="Tributación Simple",MONTH(TODAY())=12),VLOOKUP(RIGHT(A10,1),'Tabla Vencimiento'!$A$39:$G$48,7,0),0))))))</f>
        <v>0</v>
      </c>
      <c r="J10" s="56">
        <f>+IF(AND(D10="Ordinario",E10="PN"),VLOOKUP(RIGHT(A10,2),'Tabla Vencimiento'!$I$40:$J$139,2,0),+IF(AND(D10="Ordinario",E10="PN"),VLOOKUP(RIGHT(A10,2),'Tabla Vencimiento'!$J$40:$J$139,2,0),+IF(AND(D10="Tributación Simple",E10="PN"),0,+IF(AND(D10="Tributación Simple",E10="PJ"),0,+IF(AND(RIGHT(A10,2)&gt;='Tabla Vencimiento'!$A$16,RIGHT(A10,2)&lt;='Tabla Vencimiento'!$B$16),'Tabla Vencimiento'!$C$16,IF(AND(RIGHT(A10,2)&gt;='Tabla Vencimiento'!$A$17,RIGHT(A10,2)&lt;='Tabla Vencimiento'!$B$17),'Tabla Vencimiento'!$C$17,IF(AND(RIGHT(A10,2)&gt;='Tabla Vencimiento'!$A$18,RIGHT(A10,2)&lt;='Tabla Vencimiento'!$B$18),'Tabla Vencimiento'!$C$18,IF(AND(RIGHT(A10,2)&gt;='Tabla Vencimiento'!$A$19,RIGHT(A10,2)&lt;='Tabla Vencimiento'!$B$19),'Tabla Vencimiento'!$C$19,IF(AND(RIGHT(A10,2)&gt;='Tabla Vencimiento'!$A$20,RIGHT(A10,2)&lt;='Tabla Vencimiento'!$B$20),'Tabla Vencimiento'!$C$20,IF(AND(RIGHT(A10,2)&gt;='Tabla Vencimiento'!$A$21,RIGHT(A10,2)&lt;='Tabla Vencimiento'!$B$21),'Tabla Vencimiento'!$C$21,IF(AND(RIGHT(A10,2)&gt;='Tabla Vencimiento'!$A$22,RIGHT(A10,2)&lt;='Tabla Vencimiento'!$B$22),'Tabla Vencimiento'!$C$22,IF(AND(RIGHT(A10,2)&gt;='Tabla Vencimiento'!$A$23,RIGHT(A10,2)&lt;='Tabla Vencimiento'!$B$23),'Tabla Vencimiento'!$C$23,IF(AND(RIGHT(A10,2)&gt;='Tabla Vencimiento'!$A$24,RIGHT(A10,2)&lt;='Tabla Vencimiento'!$B$24),'Tabla Vencimiento'!$C$24,IF(AND(RIGHT(A10,2)&gt;='Tabla Vencimiento'!$A$25,RIGHT(A10,2)&lt;='Tabla Vencimiento'!$B$25),'Tabla Vencimiento'!$C$25,IF(AND(RIGHT(A10,2)&gt;='Tabla Vencimiento'!$A$26,RIGHT(A10,2)&lt;='Tabla Vencimiento'!$B$26),'Tabla Vencimiento'!$C$26,IF(AND(RIGHT(A10,2)&gt;='Tabla Vencimiento'!$A$27,RIGHT(A10,2)&lt;='Tabla Vencimiento'!$B$27),'Tabla Vencimiento'!$C$27,IF(AND(RIGHT(A10,2)&gt;='Tabla Vencimiento'!$A$28,RIGHT(A10,2)&lt;='Tabla Vencimiento'!$B$28),'Tabla Vencimiento'!$C$28,IF(AND(RIGHT(A10,2)&gt;='Tabla Vencimiento'!$A$29,RIGHT(A10,2)&lt;='Tabla Vencimiento'!$B$29),'Tabla Vencimiento'!$C$29,IF(AND(RIGHT(A10,2)&gt;='Tabla Vencimiento'!$A$30,RIGHT(A10,2)&lt;='Tabla Vencimiento'!$B$30),'Tabla Vencimiento'!$C$30,IF(AND(RIGHT(A10,2)&gt;='Tabla Vencimiento'!$A$31,RIGHT(A10,2)&lt;='Tabla Vencimiento'!$B$31),'Tabla Vencimiento'!$C$31,IF(AND(RIGHT(A10,2)&gt;='Tabla Vencimiento'!$A$32,RIGHT(A10,2)&lt;='Tabla Vencimiento'!$B$32),'Tabla Vencimiento'!$C$32,IF(AND(RIGHT(A10,2)&gt;='Tabla Vencimiento'!$A$33,RIGHT(A10,2)&lt;='Tabla Vencimiento'!$B$33),'Tabla Vencimiento'!$C$33,IF(AND(RIGHT(A10,2)&gt;='Tabla Vencimiento'!$A$34,RIGHT(A10,2)&lt;='Tabla Vencimiento'!$B$34),'Tabla Vencimiento'!$C$34,IF(AND(RIGHT(A10,2)&gt;='Tabla Vencimiento'!$A$35),'Tabla Vencimiento'!$C$35,0))))))))))))))))))))))))</f>
        <v>45168</v>
      </c>
      <c r="K10" s="56">
        <f>+IF((D10="Tributación Simple"),VLOOKUP(RIGHT(A10,1),'Tabla Vencimiento'!$F$17:$G$26,2,0),0)</f>
        <v>0</v>
      </c>
      <c r="L10" s="56">
        <f>+IF(AND(RIGHT(A10,2) &gt;='Tabla Vencimiento'!$A$16,RIGHT(A10,2) &lt;='Tabla Vencimiento'!$B$16),'Tabla Vencimiento'!$D$16,IF(AND(RIGHT(A10,2) &gt;='Tabla Vencimiento'!$A$17,RIGHT(A10,2) &lt;='Tabla Vencimiento'!$B$17),'Tabla Vencimiento'!$D$17,IF(AND(RIGHT(A10,2) &gt;='Tabla Vencimiento'!$A$18,RIGHT(A10,2) &lt;='Tabla Vencimiento'!$B$18),'Tabla Vencimiento'!$D$18,IF(AND(RIGHT(A10,2) &gt;='Tabla Vencimiento'!$A$19,RIGHT(A10,2) &lt;='Tabla Vencimiento'!$B$19),'Tabla Vencimiento'!$D$19,IF(AND(RIGHT(A10,2) &gt;='Tabla Vencimiento'!$A$20,RIGHT(A10,2) &lt;='Tabla Vencimiento'!$B$20),'Tabla Vencimiento'!$D$20,IF(AND(RIGHT(A10,2) &gt;='Tabla Vencimiento'!$A$21,RIGHT(A10,2) &lt;='Tabla Vencimiento'!$B$21),'Tabla Vencimiento'!$D$21,IF(AND(RIGHT(A10,2) &gt;='Tabla Vencimiento'!$A$22,RIGHT(A10,2) &lt;='Tabla Vencimiento'!$B$22),'Tabla Vencimiento'!$D$22,IF(AND(RIGHT(A10,2) &gt;='Tabla Vencimiento'!$A$23,RIGHT(A10,2) &lt;='Tabla Vencimiento'!$B$23),'Tabla Vencimiento'!$D$23,IF(AND(RIGHT(A10,2) &gt;='Tabla Vencimiento'!$A$24,RIGHT(A10,2) &lt;='Tabla Vencimiento'!$B$24),'Tabla Vencimiento'!$D$24,IF(AND(RIGHT(A10,2) &gt;='Tabla Vencimiento'!$A$25,RIGHT(A10,2) &lt;='Tabla Vencimiento'!$B$25),'Tabla Vencimiento'!$D$25,IF(AND(RIGHT(A10,2) &gt;='Tabla Vencimiento'!$A$26,RIGHT(A10,2) &lt;='Tabla Vencimiento'!$B$26),'Tabla Vencimiento'!$D$26,IF(AND(RIGHT(A10,2) &gt;='Tabla Vencimiento'!$A$27,RIGHT(A10,2) &lt;='Tabla Vencimiento'!$B$27),'Tabla Vencimiento'!$D$27,IF(AND(RIGHT(A10,2) &gt;='Tabla Vencimiento'!$A$28,RIGHT(A10,2) &lt;='Tabla Vencimiento'!$B$28),'Tabla Vencimiento'!$D$28,IF(AND(RIGHT(A10,2) &gt;='Tabla Vencimiento'!$A$29,RIGHT(A10,2) &lt;='Tabla Vencimiento'!$B$29),'Tabla Vencimiento'!$D$29,IF(AND(RIGHT(A10,2) &gt;='Tabla Vencimiento'!$A$30,RIGHT(A10,2) &lt;='Tabla Vencimiento'!$B$30),'Tabla Vencimiento'!$D$30,IF(AND(RIGHT(A10,2) &gt;='Tabla Vencimiento'!$A$31,RIGHT(A10,2) &lt;='Tabla Vencimiento'!$B$31),'Tabla Vencimiento'!$D$31,IF(AND(RIGHT(A10,2) &gt;='Tabla Vencimiento'!$A$32,RIGHT(A10,2) &lt;='Tabla Vencimiento'!$B$32),'Tabla Vencimiento'!$D$32,IF(AND(RIGHT(A10,2) &gt;='Tabla Vencimiento'!$A$33,RIGHT(A10,2) &lt;='Tabla Vencimiento'!$B$33),'Tabla Vencimiento'!$D$33,IF(AND(RIGHT(A10,2) &gt;='Tabla Vencimiento'!$A$34,RIGHT(A10,2) &lt;='Tabla Vencimiento'!$B$34),'Tabla Vencimiento'!$D$34,IF(AND(RIGHT(A10,2) &gt;='Tabla Vencimiento'!$A$35),'Tabla Vencimiento'!$D$35,0))))))))))))))))))))</f>
        <v>45070</v>
      </c>
    </row>
    <row r="11" spans="1:14" x14ac:dyDescent="0.45">
      <c r="A11" s="52"/>
      <c r="B11" s="52"/>
      <c r="C11" s="52"/>
      <c r="D11" s="52"/>
      <c r="E11" s="52"/>
      <c r="F11" s="56" t="b">
        <f ca="1">IFERROR(+IF(MONTH(TODAY())=2,VLOOKUP(RIGHT(A11,1),'Tabla Vencimiento'!$A$3:$B$12,2,IF(MONTH(TODAY())=3,VLOOKUP(RIGHT(A11,1),'Tabla Vencimiento'!$A$3:$C$12,3),IF(MONTH(TODAY())=4,VLOOKUP(RIGHT(A11,1),'Tabla Vencimiento'!$A$3:$D$12,4),IF(MONTH(TODAY())=5,VLOOKUP(RIGHT(A11,1),'Tabla Vencimiento'!$A$3:$E$12,5,0),IF(MONTH(TODAY())=6,VLOOKUP(RIGHT(A11,1),'Tabla Vencimiento'!$A$3:$F$12,6),IF(MONTH(TODAY())=7,VLOOKUP(RIGHT(A11,1),'Tabla Vencimiento'!$A$3:$G$12,7),IF(MONTH(TODAY())=8,VLOOKUP(RIGHT(A11,1),'Tabla Vencimiento'!$A$3:$H$12,8),IF(MONTH(TODAY())=9,VLOOKUP(RIGHT(A11,1),'Tabla Vencimiento'!$A$3:$I$12,9),IF(MONTH(TODAY())=10,VLOOKUP(RIGHT(A11,1),'Tabla Vencimiento'!$A$3:$J$12,10),IF(MONTH(TODAY())=11,VLOOKUP(RIGHT(A11,1),'Tabla Vencimiento'!$A$3:$K$12,11),IF(MONTH(TODAY())=12,VLOOKUP(RIGHT(A11,1),'Tabla Vencimiento'!$A$3:$L$12,12),0)))))))))))),0)</f>
        <v>0</v>
      </c>
      <c r="G11" s="56">
        <f ca="1">IFERROR(+IF(C11="No Responsable", 0,+IF(D11="Tributación Simple", 0,+IF(AND(C11="Bimestral",MONTH(TODAY())-1&lt;=2),VLOOKUP(RIGHT(A11,1),'Tabla Vencimiento'!$A$3:$C$12,3,0),IF(AND(C11="Bimestral",MONTH(TODAY())-1&lt;=4),VLOOKUP(RIGHT(A11,1),'Tabla Vencimiento'!$A$3:$E$12,5,0),IF(AND(C11="Bimestral",MONTH(TODAY())-1&lt;=6),VLOOKUP(RIGHT(A11,1),'Tabla Vencimiento'!$A$3:$G$12,7,0),IF(AND(C11="Bimestral",MONTH(TODAY())-1&lt;=8),VLOOKUP(RIGHT(A11,1),'Tabla Vencimiento'!$A$3:$I$12,9,0),IF(AND(C11="Bimestral",MONTH(TODAY())-1=10),VLOOKUP(RIGHT(A11,1),'Tabla Vencimiento'!$A$3:$K$12,11,0),IF(AND(C11="Bimestral",MONTH(TODAY())-1&lt;=12),VLOOKUP(RIGHT(A11,1),'Tabla Vencimiento'!$A$3:$M$12,13,0),IF(AND(C11="Cuatrimestral",MONTH(TODAY())-1&lt;=4),VLOOKUP(RIGHT(A11,1),'Tabla Vencimiento'!$A$3:$E$12,5,0),IF(AND(C11="Cuatrimestral",MONTH(TODAY())-1&lt;=8),VLOOKUP(RIGHT(A11,1),'Tabla Vencimiento'!$A$3:$I$12,9,0),IF(AND(C11="Cuatrimestral",MONTH(TODAY())-1&lt;=12),VLOOKUP(RIGHT(A11,1),'Tabla Vencimiento'!$A$3:$M$12,13,0),0))))))))))),0)</f>
        <v>0</v>
      </c>
      <c r="H11" s="57">
        <f ca="1">+IF(AND(D11="Tributación Simple",MONTH(TODAY())=2),VLOOKUP(RIGHT(A11,1),'Tabla Vencimiento'!$I$17:$J$26,2,0),0)</f>
        <v>0</v>
      </c>
      <c r="I11" s="56">
        <f ca="1">+IF(AND(D11="Tributación Simple",MONTH(TODAY())=2),VLOOKUP(RIGHT(A11,1),'Tabla Vencimiento'!$A$39:$G$48,2,0),+IF(AND(D11="Tributación Simple",MONTH(TODAY())=4),VLOOKUP(RIGHT(A11,1),'Tabla Vencimiento'!$A$39:$G$48,3,0),+IF(AND(D11="Tributación Simple",MONTH(TODAY())=6),VLOOKUP(RIGHT(A11,1),'Tabla Vencimiento'!$A$39:$G$48,4,0),+IF(AND(D11="Tributación Simple",MONTH(TODAY())=8),VLOOKUP(RIGHT(A11,1),'Tabla Vencimiento'!$A$39:$G$48,5,0),+IF(AND(D11="Tributación Simple",MONTH(TODAY())=10),VLOOKUP(RIGHT(A11,1),'Tabla Vencimiento'!$A$39:$G$48,6,0),+IF(AND(D11="Tributación Simple",MONTH(TODAY())=12),VLOOKUP(RIGHT(A11,1),'Tabla Vencimiento'!$A$39:$G$48,7,0),0))))))</f>
        <v>0</v>
      </c>
      <c r="J11" s="56">
        <f>+IF(AND(D11="Ordinario",E11="PN"),VLOOKUP(RIGHT(A11,2),'Tabla Vencimiento'!$I$40:$J$139,2,0),+IF(AND(D11="Ordinario",E11="PN"),VLOOKUP(RIGHT(A11,2),'Tabla Vencimiento'!$J$40:$J$139,2,0),+IF(AND(D11="Tributación Simple",E11="PN"),0,+IF(AND(D11="Tributación Simple",E11="PJ"),0,+IF(AND(RIGHT(A11,2)&gt;='Tabla Vencimiento'!$A$16,RIGHT(A11,2)&lt;='Tabla Vencimiento'!$B$16),'Tabla Vencimiento'!$C$16,IF(AND(RIGHT(A11,2)&gt;='Tabla Vencimiento'!$A$17,RIGHT(A11,2)&lt;='Tabla Vencimiento'!$B$17),'Tabla Vencimiento'!$C$17,IF(AND(RIGHT(A11,2)&gt;='Tabla Vencimiento'!$A$18,RIGHT(A11,2)&lt;='Tabla Vencimiento'!$B$18),'Tabla Vencimiento'!$C$18,IF(AND(RIGHT(A11,2)&gt;='Tabla Vencimiento'!$A$19,RIGHT(A11,2)&lt;='Tabla Vencimiento'!$B$19),'Tabla Vencimiento'!$C$19,IF(AND(RIGHT(A11,2)&gt;='Tabla Vencimiento'!$A$20,RIGHT(A11,2)&lt;='Tabla Vencimiento'!$B$20),'Tabla Vencimiento'!$C$20,IF(AND(RIGHT(A11,2)&gt;='Tabla Vencimiento'!$A$21,RIGHT(A11,2)&lt;='Tabla Vencimiento'!$B$21),'Tabla Vencimiento'!$C$21,IF(AND(RIGHT(A11,2)&gt;='Tabla Vencimiento'!$A$22,RIGHT(A11,2)&lt;='Tabla Vencimiento'!$B$22),'Tabla Vencimiento'!$C$22,IF(AND(RIGHT(A11,2)&gt;='Tabla Vencimiento'!$A$23,RIGHT(A11,2)&lt;='Tabla Vencimiento'!$B$23),'Tabla Vencimiento'!$C$23,IF(AND(RIGHT(A11,2)&gt;='Tabla Vencimiento'!$A$24,RIGHT(A11,2)&lt;='Tabla Vencimiento'!$B$24),'Tabla Vencimiento'!$C$24,IF(AND(RIGHT(A11,2)&gt;='Tabla Vencimiento'!$A$25,RIGHT(A11,2)&lt;='Tabla Vencimiento'!$B$25),'Tabla Vencimiento'!$C$25,IF(AND(RIGHT(A11,2)&gt;='Tabla Vencimiento'!$A$26,RIGHT(A11,2)&lt;='Tabla Vencimiento'!$B$26),'Tabla Vencimiento'!$C$26,IF(AND(RIGHT(A11,2)&gt;='Tabla Vencimiento'!$A$27,RIGHT(A11,2)&lt;='Tabla Vencimiento'!$B$27),'Tabla Vencimiento'!$C$27,IF(AND(RIGHT(A11,2)&gt;='Tabla Vencimiento'!$A$28,RIGHT(A11,2)&lt;='Tabla Vencimiento'!$B$28),'Tabla Vencimiento'!$C$28,IF(AND(RIGHT(A11,2)&gt;='Tabla Vencimiento'!$A$29,RIGHT(A11,2)&lt;='Tabla Vencimiento'!$B$29),'Tabla Vencimiento'!$C$29,IF(AND(RIGHT(A11,2)&gt;='Tabla Vencimiento'!$A$30,RIGHT(A11,2)&lt;='Tabla Vencimiento'!$B$30),'Tabla Vencimiento'!$C$30,IF(AND(RIGHT(A11,2)&gt;='Tabla Vencimiento'!$A$31,RIGHT(A11,2)&lt;='Tabla Vencimiento'!$B$31),'Tabla Vencimiento'!$C$31,IF(AND(RIGHT(A11,2)&gt;='Tabla Vencimiento'!$A$32,RIGHT(A11,2)&lt;='Tabla Vencimiento'!$B$32),'Tabla Vencimiento'!$C$32,IF(AND(RIGHT(A11,2)&gt;='Tabla Vencimiento'!$A$33,RIGHT(A11,2)&lt;='Tabla Vencimiento'!$B$33),'Tabla Vencimiento'!$C$33,IF(AND(RIGHT(A11,2)&gt;='Tabla Vencimiento'!$A$34,RIGHT(A11,2)&lt;='Tabla Vencimiento'!$B$34),'Tabla Vencimiento'!$C$34,IF(AND(RIGHT(A11,2)&gt;='Tabla Vencimiento'!$A$35),'Tabla Vencimiento'!$C$35,0))))))))))))))))))))))))</f>
        <v>0</v>
      </c>
      <c r="K11" s="56">
        <f>+IF((D11="Tributación Simple"),VLOOKUP(RIGHT(A11,1),'Tabla Vencimiento'!$F$17:$G$26,2,0),0)</f>
        <v>0</v>
      </c>
      <c r="L11" s="56">
        <f>+IF(AND(RIGHT(A11,2) &gt;='Tabla Vencimiento'!$A$16,RIGHT(A11,2) &lt;='Tabla Vencimiento'!$B$16),'Tabla Vencimiento'!$D$16,IF(AND(RIGHT(A11,2) &gt;='Tabla Vencimiento'!$A$17,RIGHT(A11,2) &lt;='Tabla Vencimiento'!$B$17),'Tabla Vencimiento'!$D$17,IF(AND(RIGHT(A11,2) &gt;='Tabla Vencimiento'!$A$18,RIGHT(A11,2) &lt;='Tabla Vencimiento'!$B$18),'Tabla Vencimiento'!$D$18,IF(AND(RIGHT(A11,2) &gt;='Tabla Vencimiento'!$A$19,RIGHT(A11,2) &lt;='Tabla Vencimiento'!$B$19),'Tabla Vencimiento'!$D$19,IF(AND(RIGHT(A11,2) &gt;='Tabla Vencimiento'!$A$20,RIGHT(A11,2) &lt;='Tabla Vencimiento'!$B$20),'Tabla Vencimiento'!$D$20,IF(AND(RIGHT(A11,2) &gt;='Tabla Vencimiento'!$A$21,RIGHT(A11,2) &lt;='Tabla Vencimiento'!$B$21),'Tabla Vencimiento'!$D$21,IF(AND(RIGHT(A11,2) &gt;='Tabla Vencimiento'!$A$22,RIGHT(A11,2) &lt;='Tabla Vencimiento'!$B$22),'Tabla Vencimiento'!$D$22,IF(AND(RIGHT(A11,2) &gt;='Tabla Vencimiento'!$A$23,RIGHT(A11,2) &lt;='Tabla Vencimiento'!$B$23),'Tabla Vencimiento'!$D$23,IF(AND(RIGHT(A11,2) &gt;='Tabla Vencimiento'!$A$24,RIGHT(A11,2) &lt;='Tabla Vencimiento'!$B$24),'Tabla Vencimiento'!$D$24,IF(AND(RIGHT(A11,2) &gt;='Tabla Vencimiento'!$A$25,RIGHT(A11,2) &lt;='Tabla Vencimiento'!$B$25),'Tabla Vencimiento'!$D$25,IF(AND(RIGHT(A11,2) &gt;='Tabla Vencimiento'!$A$26,RIGHT(A11,2) &lt;='Tabla Vencimiento'!$B$26),'Tabla Vencimiento'!$D$26,IF(AND(RIGHT(A11,2) &gt;='Tabla Vencimiento'!$A$27,RIGHT(A11,2) &lt;='Tabla Vencimiento'!$B$27),'Tabla Vencimiento'!$D$27,IF(AND(RIGHT(A11,2) &gt;='Tabla Vencimiento'!$A$28,RIGHT(A11,2) &lt;='Tabla Vencimiento'!$B$28),'Tabla Vencimiento'!$D$28,IF(AND(RIGHT(A11,2) &gt;='Tabla Vencimiento'!$A$29,RIGHT(A11,2) &lt;='Tabla Vencimiento'!$B$29),'Tabla Vencimiento'!$D$29,IF(AND(RIGHT(A11,2) &gt;='Tabla Vencimiento'!$A$30,RIGHT(A11,2) &lt;='Tabla Vencimiento'!$B$30),'Tabla Vencimiento'!$D$30,IF(AND(RIGHT(A11,2) &gt;='Tabla Vencimiento'!$A$31,RIGHT(A11,2) &lt;='Tabla Vencimiento'!$B$31),'Tabla Vencimiento'!$D$31,IF(AND(RIGHT(A11,2) &gt;='Tabla Vencimiento'!$A$32,RIGHT(A11,2) &lt;='Tabla Vencimiento'!$B$32),'Tabla Vencimiento'!$D$32,IF(AND(RIGHT(A11,2) &gt;='Tabla Vencimiento'!$A$33,RIGHT(A11,2) &lt;='Tabla Vencimiento'!$B$33),'Tabla Vencimiento'!$D$33,IF(AND(RIGHT(A11,2) &gt;='Tabla Vencimiento'!$A$34,RIGHT(A11,2) &lt;='Tabla Vencimiento'!$B$34),'Tabla Vencimiento'!$D$34,IF(AND(RIGHT(A11,2) &gt;='Tabla Vencimiento'!$A$35),'Tabla Vencimiento'!$D$35,0))))))))))))))))))))</f>
        <v>0</v>
      </c>
    </row>
    <row r="12" spans="1:14" x14ac:dyDescent="0.45">
      <c r="A12" s="52"/>
      <c r="B12" s="52"/>
      <c r="C12" s="52"/>
      <c r="D12" s="52"/>
      <c r="E12" s="52"/>
      <c r="F12" s="56" t="b">
        <f ca="1">IFERROR(+IF(MONTH(TODAY())=2,VLOOKUP(RIGHT(A12,1),'Tabla Vencimiento'!$A$3:$B$12,2,IF(MONTH(TODAY())=3,VLOOKUP(RIGHT(A12,1),'Tabla Vencimiento'!$A$3:$C$12,3),IF(MONTH(TODAY())=4,VLOOKUP(RIGHT(A12,1),'Tabla Vencimiento'!$A$3:$D$12,4),IF(MONTH(TODAY())=5,VLOOKUP(RIGHT(A12,1),'Tabla Vencimiento'!$A$3:$E$12,5,0),IF(MONTH(TODAY())=6,VLOOKUP(RIGHT(A12,1),'Tabla Vencimiento'!$A$3:$F$12,6),IF(MONTH(TODAY())=7,VLOOKUP(RIGHT(A12,1),'Tabla Vencimiento'!$A$3:$G$12,7),IF(MONTH(TODAY())=8,VLOOKUP(RIGHT(A12,1),'Tabla Vencimiento'!$A$3:$H$12,8),IF(MONTH(TODAY())=9,VLOOKUP(RIGHT(A12,1),'Tabla Vencimiento'!$A$3:$I$12,9),IF(MONTH(TODAY())=10,VLOOKUP(RIGHT(A12,1),'Tabla Vencimiento'!$A$3:$J$12,10),IF(MONTH(TODAY())=11,VLOOKUP(RIGHT(A12,1),'Tabla Vencimiento'!$A$3:$K$12,11),IF(MONTH(TODAY())=12,VLOOKUP(RIGHT(A12,1),'Tabla Vencimiento'!$A$3:$L$12,12),0)))))))))))),0)</f>
        <v>0</v>
      </c>
      <c r="G12" s="56">
        <f ca="1">IFERROR(+IF(C12="No Responsable", 0,+IF(D12="Tributación Simple", 0,+IF(AND(C12="Bimestral",MONTH(TODAY())-1&lt;=2),VLOOKUP(RIGHT(A12,1),'Tabla Vencimiento'!$A$3:$C$12,3,0),IF(AND(C12="Bimestral",MONTH(TODAY())-1&lt;=4),VLOOKUP(RIGHT(A12,1),'Tabla Vencimiento'!$A$3:$E$12,5,0),IF(AND(C12="Bimestral",MONTH(TODAY())-1&lt;=6),VLOOKUP(RIGHT(A12,1),'Tabla Vencimiento'!$A$3:$G$12,7,0),IF(AND(C12="Bimestral",MONTH(TODAY())-1&lt;=8),VLOOKUP(RIGHT(A12,1),'Tabla Vencimiento'!$A$3:$I$12,9,0),IF(AND(C12="Bimestral",MONTH(TODAY())-1=10),VLOOKUP(RIGHT(A12,1),'Tabla Vencimiento'!$A$3:$K$12,11,0),IF(AND(C12="Bimestral",MONTH(TODAY())-1&lt;=12),VLOOKUP(RIGHT(A12,1),'Tabla Vencimiento'!$A$3:$M$12,13,0),IF(AND(C12="Cuatrimestral",MONTH(TODAY())-1&lt;=4),VLOOKUP(RIGHT(A12,1),'Tabla Vencimiento'!$A$3:$E$12,5,0),IF(AND(C12="Cuatrimestral",MONTH(TODAY())-1&lt;=8),VLOOKUP(RIGHT(A12,1),'Tabla Vencimiento'!$A$3:$I$12,9,0),IF(AND(C12="Cuatrimestral",MONTH(TODAY())-1&lt;=12),VLOOKUP(RIGHT(A12,1),'Tabla Vencimiento'!$A$3:$M$12,13,0),0))))))))))),0)</f>
        <v>0</v>
      </c>
      <c r="H12" s="57">
        <f ca="1">+IF(AND(D12="Tributación Simple",MONTH(TODAY())=2),VLOOKUP(RIGHT(A12,1),'Tabla Vencimiento'!$I$17:$J$26,2,0),0)</f>
        <v>0</v>
      </c>
      <c r="I12" s="56">
        <f ca="1">+IF(AND(D12="Tributación Simple",MONTH(TODAY())=2),VLOOKUP(RIGHT(A12,1),'Tabla Vencimiento'!$A$39:$G$48,2,0),+IF(AND(D12="Tributación Simple",MONTH(TODAY())=4),VLOOKUP(RIGHT(A12,1),'Tabla Vencimiento'!$A$39:$G$48,3,0),+IF(AND(D12="Tributación Simple",MONTH(TODAY())=6),VLOOKUP(RIGHT(A12,1),'Tabla Vencimiento'!$A$39:$G$48,4,0),+IF(AND(D12="Tributación Simple",MONTH(TODAY())=8),VLOOKUP(RIGHT(A12,1),'Tabla Vencimiento'!$A$39:$G$48,5,0),+IF(AND(D12="Tributación Simple",MONTH(TODAY())=10),VLOOKUP(RIGHT(A12,1),'Tabla Vencimiento'!$A$39:$G$48,6,0),+IF(AND(D12="Tributación Simple",MONTH(TODAY())=12),VLOOKUP(RIGHT(A12,1),'Tabla Vencimiento'!$A$39:$G$48,7,0),0))))))</f>
        <v>0</v>
      </c>
      <c r="J12" s="56">
        <f>+IF(AND(D12="Ordinario",E12="PN"),VLOOKUP(RIGHT(A12,2),'Tabla Vencimiento'!$I$40:$J$139,2,0),+IF(AND(D12="Ordinario",E12="PN"),VLOOKUP(RIGHT(A12,2),'Tabla Vencimiento'!$J$40:$J$139,2,0),+IF(AND(D12="Tributación Simple",E12="PN"),0,+IF(AND(D12="Tributación Simple",E12="PJ"),0,+IF(AND(RIGHT(A12,2)&gt;='Tabla Vencimiento'!$A$16,RIGHT(A12,2)&lt;='Tabla Vencimiento'!$B$16),'Tabla Vencimiento'!$C$16,IF(AND(RIGHT(A12,2)&gt;='Tabla Vencimiento'!$A$17,RIGHT(A12,2)&lt;='Tabla Vencimiento'!$B$17),'Tabla Vencimiento'!$C$17,IF(AND(RIGHT(A12,2)&gt;='Tabla Vencimiento'!$A$18,RIGHT(A12,2)&lt;='Tabla Vencimiento'!$B$18),'Tabla Vencimiento'!$C$18,IF(AND(RIGHT(A12,2)&gt;='Tabla Vencimiento'!$A$19,RIGHT(A12,2)&lt;='Tabla Vencimiento'!$B$19),'Tabla Vencimiento'!$C$19,IF(AND(RIGHT(A12,2)&gt;='Tabla Vencimiento'!$A$20,RIGHT(A12,2)&lt;='Tabla Vencimiento'!$B$20),'Tabla Vencimiento'!$C$20,IF(AND(RIGHT(A12,2)&gt;='Tabla Vencimiento'!$A$21,RIGHT(A12,2)&lt;='Tabla Vencimiento'!$B$21),'Tabla Vencimiento'!$C$21,IF(AND(RIGHT(A12,2)&gt;='Tabla Vencimiento'!$A$22,RIGHT(A12,2)&lt;='Tabla Vencimiento'!$B$22),'Tabla Vencimiento'!$C$22,IF(AND(RIGHT(A12,2)&gt;='Tabla Vencimiento'!$A$23,RIGHT(A12,2)&lt;='Tabla Vencimiento'!$B$23),'Tabla Vencimiento'!$C$23,IF(AND(RIGHT(A12,2)&gt;='Tabla Vencimiento'!$A$24,RIGHT(A12,2)&lt;='Tabla Vencimiento'!$B$24),'Tabla Vencimiento'!$C$24,IF(AND(RIGHT(A12,2)&gt;='Tabla Vencimiento'!$A$25,RIGHT(A12,2)&lt;='Tabla Vencimiento'!$B$25),'Tabla Vencimiento'!$C$25,IF(AND(RIGHT(A12,2)&gt;='Tabla Vencimiento'!$A$26,RIGHT(A12,2)&lt;='Tabla Vencimiento'!$B$26),'Tabla Vencimiento'!$C$26,IF(AND(RIGHT(A12,2)&gt;='Tabla Vencimiento'!$A$27,RIGHT(A12,2)&lt;='Tabla Vencimiento'!$B$27),'Tabla Vencimiento'!$C$27,IF(AND(RIGHT(A12,2)&gt;='Tabla Vencimiento'!$A$28,RIGHT(A12,2)&lt;='Tabla Vencimiento'!$B$28),'Tabla Vencimiento'!$C$28,IF(AND(RIGHT(A12,2)&gt;='Tabla Vencimiento'!$A$29,RIGHT(A12,2)&lt;='Tabla Vencimiento'!$B$29),'Tabla Vencimiento'!$C$29,IF(AND(RIGHT(A12,2)&gt;='Tabla Vencimiento'!$A$30,RIGHT(A12,2)&lt;='Tabla Vencimiento'!$B$30),'Tabla Vencimiento'!$C$30,IF(AND(RIGHT(A12,2)&gt;='Tabla Vencimiento'!$A$31,RIGHT(A12,2)&lt;='Tabla Vencimiento'!$B$31),'Tabla Vencimiento'!$C$31,IF(AND(RIGHT(A12,2)&gt;='Tabla Vencimiento'!$A$32,RIGHT(A12,2)&lt;='Tabla Vencimiento'!$B$32),'Tabla Vencimiento'!$C$32,IF(AND(RIGHT(A12,2)&gt;='Tabla Vencimiento'!$A$33,RIGHT(A12,2)&lt;='Tabla Vencimiento'!$B$33),'Tabla Vencimiento'!$C$33,IF(AND(RIGHT(A12,2)&gt;='Tabla Vencimiento'!$A$34,RIGHT(A12,2)&lt;='Tabla Vencimiento'!$B$34),'Tabla Vencimiento'!$C$34,IF(AND(RIGHT(A12,2)&gt;='Tabla Vencimiento'!$A$35),'Tabla Vencimiento'!$C$35,0))))))))))))))))))))))))</f>
        <v>0</v>
      </c>
      <c r="K12" s="56">
        <f>+IF((D12="Tributación Simple"),VLOOKUP(RIGHT(A12,1),'Tabla Vencimiento'!$F$17:$G$26,2,0),0)</f>
        <v>0</v>
      </c>
      <c r="L12" s="56">
        <f>+IF(AND(RIGHT(A12,2) &gt;='Tabla Vencimiento'!$A$16,RIGHT(A12,2) &lt;='Tabla Vencimiento'!$B$16),'Tabla Vencimiento'!$D$16,IF(AND(RIGHT(A12,2) &gt;='Tabla Vencimiento'!$A$17,RIGHT(A12,2) &lt;='Tabla Vencimiento'!$B$17),'Tabla Vencimiento'!$D$17,IF(AND(RIGHT(A12,2) &gt;='Tabla Vencimiento'!$A$18,RIGHT(A12,2) &lt;='Tabla Vencimiento'!$B$18),'Tabla Vencimiento'!$D$18,IF(AND(RIGHT(A12,2) &gt;='Tabla Vencimiento'!$A$19,RIGHT(A12,2) &lt;='Tabla Vencimiento'!$B$19),'Tabla Vencimiento'!$D$19,IF(AND(RIGHT(A12,2) &gt;='Tabla Vencimiento'!$A$20,RIGHT(A12,2) &lt;='Tabla Vencimiento'!$B$20),'Tabla Vencimiento'!$D$20,IF(AND(RIGHT(A12,2) &gt;='Tabla Vencimiento'!$A$21,RIGHT(A12,2) &lt;='Tabla Vencimiento'!$B$21),'Tabla Vencimiento'!$D$21,IF(AND(RIGHT(A12,2) &gt;='Tabla Vencimiento'!$A$22,RIGHT(A12,2) &lt;='Tabla Vencimiento'!$B$22),'Tabla Vencimiento'!$D$22,IF(AND(RIGHT(A12,2) &gt;='Tabla Vencimiento'!$A$23,RIGHT(A12,2) &lt;='Tabla Vencimiento'!$B$23),'Tabla Vencimiento'!$D$23,IF(AND(RIGHT(A12,2) &gt;='Tabla Vencimiento'!$A$24,RIGHT(A12,2) &lt;='Tabla Vencimiento'!$B$24),'Tabla Vencimiento'!$D$24,IF(AND(RIGHT(A12,2) &gt;='Tabla Vencimiento'!$A$25,RIGHT(A12,2) &lt;='Tabla Vencimiento'!$B$25),'Tabla Vencimiento'!$D$25,IF(AND(RIGHT(A12,2) &gt;='Tabla Vencimiento'!$A$26,RIGHT(A12,2) &lt;='Tabla Vencimiento'!$B$26),'Tabla Vencimiento'!$D$26,IF(AND(RIGHT(A12,2) &gt;='Tabla Vencimiento'!$A$27,RIGHT(A12,2) &lt;='Tabla Vencimiento'!$B$27),'Tabla Vencimiento'!$D$27,IF(AND(RIGHT(A12,2) &gt;='Tabla Vencimiento'!$A$28,RIGHT(A12,2) &lt;='Tabla Vencimiento'!$B$28),'Tabla Vencimiento'!$D$28,IF(AND(RIGHT(A12,2) &gt;='Tabla Vencimiento'!$A$29,RIGHT(A12,2) &lt;='Tabla Vencimiento'!$B$29),'Tabla Vencimiento'!$D$29,IF(AND(RIGHT(A12,2) &gt;='Tabla Vencimiento'!$A$30,RIGHT(A12,2) &lt;='Tabla Vencimiento'!$B$30),'Tabla Vencimiento'!$D$30,IF(AND(RIGHT(A12,2) &gt;='Tabla Vencimiento'!$A$31,RIGHT(A12,2) &lt;='Tabla Vencimiento'!$B$31),'Tabla Vencimiento'!$D$31,IF(AND(RIGHT(A12,2) &gt;='Tabla Vencimiento'!$A$32,RIGHT(A12,2) &lt;='Tabla Vencimiento'!$B$32),'Tabla Vencimiento'!$D$32,IF(AND(RIGHT(A12,2) &gt;='Tabla Vencimiento'!$A$33,RIGHT(A12,2) &lt;='Tabla Vencimiento'!$B$33),'Tabla Vencimiento'!$D$33,IF(AND(RIGHT(A12,2) &gt;='Tabla Vencimiento'!$A$34,RIGHT(A12,2) &lt;='Tabla Vencimiento'!$B$34),'Tabla Vencimiento'!$D$34,IF(AND(RIGHT(A12,2) &gt;='Tabla Vencimiento'!$A$35),'Tabla Vencimiento'!$D$35,0))))))))))))))))))))</f>
        <v>0</v>
      </c>
    </row>
    <row r="13" spans="1:14" x14ac:dyDescent="0.45">
      <c r="A13" s="52"/>
      <c r="B13" s="52"/>
      <c r="C13" s="52"/>
      <c r="D13" s="52"/>
      <c r="E13" s="52"/>
      <c r="F13" s="56" t="b">
        <f ca="1">IFERROR(+IF(MONTH(TODAY())=2,VLOOKUP(RIGHT(A13,1),'Tabla Vencimiento'!$A$3:$B$12,2,IF(MONTH(TODAY())=3,VLOOKUP(RIGHT(A13,1),'Tabla Vencimiento'!$A$3:$C$12,3),IF(MONTH(TODAY())=4,VLOOKUP(RIGHT(A13,1),'Tabla Vencimiento'!$A$3:$D$12,4),IF(MONTH(TODAY())=5,VLOOKUP(RIGHT(A13,1),'Tabla Vencimiento'!$A$3:$E$12,5,0),IF(MONTH(TODAY())=6,VLOOKUP(RIGHT(A13,1),'Tabla Vencimiento'!$A$3:$F$12,6),IF(MONTH(TODAY())=7,VLOOKUP(RIGHT(A13,1),'Tabla Vencimiento'!$A$3:$G$12,7),IF(MONTH(TODAY())=8,VLOOKUP(RIGHT(A13,1),'Tabla Vencimiento'!$A$3:$H$12,8),IF(MONTH(TODAY())=9,VLOOKUP(RIGHT(A13,1),'Tabla Vencimiento'!$A$3:$I$12,9),IF(MONTH(TODAY())=10,VLOOKUP(RIGHT(A13,1),'Tabla Vencimiento'!$A$3:$J$12,10),IF(MONTH(TODAY())=11,VLOOKUP(RIGHT(A13,1),'Tabla Vencimiento'!$A$3:$K$12,11),IF(MONTH(TODAY())=12,VLOOKUP(RIGHT(A13,1),'Tabla Vencimiento'!$A$3:$L$12,12),0)))))))))))),0)</f>
        <v>0</v>
      </c>
      <c r="G13" s="56">
        <f ca="1">IFERROR(+IF(C13="No Responsable", 0,+IF(D13="Tributación Simple", 0,+IF(AND(C13="Bimestral",MONTH(TODAY())-1&lt;=2),VLOOKUP(RIGHT(A13,1),'Tabla Vencimiento'!$A$3:$C$12,3,0),IF(AND(C13="Bimestral",MONTH(TODAY())-1&lt;=4),VLOOKUP(RIGHT(A13,1),'Tabla Vencimiento'!$A$3:$E$12,5,0),IF(AND(C13="Bimestral",MONTH(TODAY())-1&lt;=6),VLOOKUP(RIGHT(A13,1),'Tabla Vencimiento'!$A$3:$G$12,7,0),IF(AND(C13="Bimestral",MONTH(TODAY())-1&lt;=8),VLOOKUP(RIGHT(A13,1),'Tabla Vencimiento'!$A$3:$I$12,9,0),IF(AND(C13="Bimestral",MONTH(TODAY())-1=10),VLOOKUP(RIGHT(A13,1),'Tabla Vencimiento'!$A$3:$K$12,11,0),IF(AND(C13="Bimestral",MONTH(TODAY())-1&lt;=12),VLOOKUP(RIGHT(A13,1),'Tabla Vencimiento'!$A$3:$M$12,13,0),IF(AND(C13="Cuatrimestral",MONTH(TODAY())-1&lt;=4),VLOOKUP(RIGHT(A13,1),'Tabla Vencimiento'!$A$3:$E$12,5,0),IF(AND(C13="Cuatrimestral",MONTH(TODAY())-1&lt;=8),VLOOKUP(RIGHT(A13,1),'Tabla Vencimiento'!$A$3:$I$12,9,0),IF(AND(C13="Cuatrimestral",MONTH(TODAY())-1&lt;=12),VLOOKUP(RIGHT(A13,1),'Tabla Vencimiento'!$A$3:$M$12,13,0),0))))))))))),0)</f>
        <v>0</v>
      </c>
      <c r="H13" s="57">
        <f ca="1">+IF(AND(D13="Tributación Simple",MONTH(TODAY())=2),VLOOKUP(RIGHT(A13,1),'Tabla Vencimiento'!$I$17:$J$26,2,0),0)</f>
        <v>0</v>
      </c>
      <c r="I13" s="56">
        <f ca="1">+IF(AND(D13="Tributación Simple",MONTH(TODAY())=2),VLOOKUP(RIGHT(A13,1),'Tabla Vencimiento'!$A$39:$G$48,2,0),+IF(AND(D13="Tributación Simple",MONTH(TODAY())=4),VLOOKUP(RIGHT(A13,1),'Tabla Vencimiento'!$A$39:$G$48,3,0),+IF(AND(D13="Tributación Simple",MONTH(TODAY())=6),VLOOKUP(RIGHT(A13,1),'Tabla Vencimiento'!$A$39:$G$48,4,0),+IF(AND(D13="Tributación Simple",MONTH(TODAY())=8),VLOOKUP(RIGHT(A13,1),'Tabla Vencimiento'!$A$39:$G$48,5,0),+IF(AND(D13="Tributación Simple",MONTH(TODAY())=10),VLOOKUP(RIGHT(A13,1),'Tabla Vencimiento'!$A$39:$G$48,6,0),+IF(AND(D13="Tributación Simple",MONTH(TODAY())=12),VLOOKUP(RIGHT(A13,1),'Tabla Vencimiento'!$A$39:$G$48,7,0),0))))))</f>
        <v>0</v>
      </c>
      <c r="J13" s="56">
        <f>+IF(AND(D13="Ordinario",E13="PN"),VLOOKUP(RIGHT(A13,2),'Tabla Vencimiento'!$I$40:$J$139,2,0),+IF(AND(D13="Ordinario",E13="PN"),VLOOKUP(RIGHT(A13,2),'Tabla Vencimiento'!$J$40:$J$139,2,0),+IF(AND(D13="Tributación Simple",E13="PN"),0,+IF(AND(D13="Tributación Simple",E13="PJ"),0,+IF(AND(RIGHT(A13,2)&gt;='Tabla Vencimiento'!$A$16,RIGHT(A13,2)&lt;='Tabla Vencimiento'!$B$16),'Tabla Vencimiento'!$C$16,IF(AND(RIGHT(A13,2)&gt;='Tabla Vencimiento'!$A$17,RIGHT(A13,2)&lt;='Tabla Vencimiento'!$B$17),'Tabla Vencimiento'!$C$17,IF(AND(RIGHT(A13,2)&gt;='Tabla Vencimiento'!$A$18,RIGHT(A13,2)&lt;='Tabla Vencimiento'!$B$18),'Tabla Vencimiento'!$C$18,IF(AND(RIGHT(A13,2)&gt;='Tabla Vencimiento'!$A$19,RIGHT(A13,2)&lt;='Tabla Vencimiento'!$B$19),'Tabla Vencimiento'!$C$19,IF(AND(RIGHT(A13,2)&gt;='Tabla Vencimiento'!$A$20,RIGHT(A13,2)&lt;='Tabla Vencimiento'!$B$20),'Tabla Vencimiento'!$C$20,IF(AND(RIGHT(A13,2)&gt;='Tabla Vencimiento'!$A$21,RIGHT(A13,2)&lt;='Tabla Vencimiento'!$B$21),'Tabla Vencimiento'!$C$21,IF(AND(RIGHT(A13,2)&gt;='Tabla Vencimiento'!$A$22,RIGHT(A13,2)&lt;='Tabla Vencimiento'!$B$22),'Tabla Vencimiento'!$C$22,IF(AND(RIGHT(A13,2)&gt;='Tabla Vencimiento'!$A$23,RIGHT(A13,2)&lt;='Tabla Vencimiento'!$B$23),'Tabla Vencimiento'!$C$23,IF(AND(RIGHT(A13,2)&gt;='Tabla Vencimiento'!$A$24,RIGHT(A13,2)&lt;='Tabla Vencimiento'!$B$24),'Tabla Vencimiento'!$C$24,IF(AND(RIGHT(A13,2)&gt;='Tabla Vencimiento'!$A$25,RIGHT(A13,2)&lt;='Tabla Vencimiento'!$B$25),'Tabla Vencimiento'!$C$25,IF(AND(RIGHT(A13,2)&gt;='Tabla Vencimiento'!$A$26,RIGHT(A13,2)&lt;='Tabla Vencimiento'!$B$26),'Tabla Vencimiento'!$C$26,IF(AND(RIGHT(A13,2)&gt;='Tabla Vencimiento'!$A$27,RIGHT(A13,2)&lt;='Tabla Vencimiento'!$B$27),'Tabla Vencimiento'!$C$27,IF(AND(RIGHT(A13,2)&gt;='Tabla Vencimiento'!$A$28,RIGHT(A13,2)&lt;='Tabla Vencimiento'!$B$28),'Tabla Vencimiento'!$C$28,IF(AND(RIGHT(A13,2)&gt;='Tabla Vencimiento'!$A$29,RIGHT(A13,2)&lt;='Tabla Vencimiento'!$B$29),'Tabla Vencimiento'!$C$29,IF(AND(RIGHT(A13,2)&gt;='Tabla Vencimiento'!$A$30,RIGHT(A13,2)&lt;='Tabla Vencimiento'!$B$30),'Tabla Vencimiento'!$C$30,IF(AND(RIGHT(A13,2)&gt;='Tabla Vencimiento'!$A$31,RIGHT(A13,2)&lt;='Tabla Vencimiento'!$B$31),'Tabla Vencimiento'!$C$31,IF(AND(RIGHT(A13,2)&gt;='Tabla Vencimiento'!$A$32,RIGHT(A13,2)&lt;='Tabla Vencimiento'!$B$32),'Tabla Vencimiento'!$C$32,IF(AND(RIGHT(A13,2)&gt;='Tabla Vencimiento'!$A$33,RIGHT(A13,2)&lt;='Tabla Vencimiento'!$B$33),'Tabla Vencimiento'!$C$33,IF(AND(RIGHT(A13,2)&gt;='Tabla Vencimiento'!$A$34,RIGHT(A13,2)&lt;='Tabla Vencimiento'!$B$34),'Tabla Vencimiento'!$C$34,IF(AND(RIGHT(A13,2)&gt;='Tabla Vencimiento'!$A$35),'Tabla Vencimiento'!$C$35,0))))))))))))))))))))))))</f>
        <v>0</v>
      </c>
      <c r="K13" s="56">
        <f>+IF((D13="Tributación Simple"),VLOOKUP(RIGHT(A13,1),'Tabla Vencimiento'!$F$17:$G$26,2,0),0)</f>
        <v>0</v>
      </c>
      <c r="L13" s="56">
        <f>+IF(AND(RIGHT(A13,2) &gt;='Tabla Vencimiento'!$A$16,RIGHT(A13,2) &lt;='Tabla Vencimiento'!$B$16),'Tabla Vencimiento'!$D$16,IF(AND(RIGHT(A13,2) &gt;='Tabla Vencimiento'!$A$17,RIGHT(A13,2) &lt;='Tabla Vencimiento'!$B$17),'Tabla Vencimiento'!$D$17,IF(AND(RIGHT(A13,2) &gt;='Tabla Vencimiento'!$A$18,RIGHT(A13,2) &lt;='Tabla Vencimiento'!$B$18),'Tabla Vencimiento'!$D$18,IF(AND(RIGHT(A13,2) &gt;='Tabla Vencimiento'!$A$19,RIGHT(A13,2) &lt;='Tabla Vencimiento'!$B$19),'Tabla Vencimiento'!$D$19,IF(AND(RIGHT(A13,2) &gt;='Tabla Vencimiento'!$A$20,RIGHT(A13,2) &lt;='Tabla Vencimiento'!$B$20),'Tabla Vencimiento'!$D$20,IF(AND(RIGHT(A13,2) &gt;='Tabla Vencimiento'!$A$21,RIGHT(A13,2) &lt;='Tabla Vencimiento'!$B$21),'Tabla Vencimiento'!$D$21,IF(AND(RIGHT(A13,2) &gt;='Tabla Vencimiento'!$A$22,RIGHT(A13,2) &lt;='Tabla Vencimiento'!$B$22),'Tabla Vencimiento'!$D$22,IF(AND(RIGHT(A13,2) &gt;='Tabla Vencimiento'!$A$23,RIGHT(A13,2) &lt;='Tabla Vencimiento'!$B$23),'Tabla Vencimiento'!$D$23,IF(AND(RIGHT(A13,2) &gt;='Tabla Vencimiento'!$A$24,RIGHT(A13,2) &lt;='Tabla Vencimiento'!$B$24),'Tabla Vencimiento'!$D$24,IF(AND(RIGHT(A13,2) &gt;='Tabla Vencimiento'!$A$25,RIGHT(A13,2) &lt;='Tabla Vencimiento'!$B$25),'Tabla Vencimiento'!$D$25,IF(AND(RIGHT(A13,2) &gt;='Tabla Vencimiento'!$A$26,RIGHT(A13,2) &lt;='Tabla Vencimiento'!$B$26),'Tabla Vencimiento'!$D$26,IF(AND(RIGHT(A13,2) &gt;='Tabla Vencimiento'!$A$27,RIGHT(A13,2) &lt;='Tabla Vencimiento'!$B$27),'Tabla Vencimiento'!$D$27,IF(AND(RIGHT(A13,2) &gt;='Tabla Vencimiento'!$A$28,RIGHT(A13,2) &lt;='Tabla Vencimiento'!$B$28),'Tabla Vencimiento'!$D$28,IF(AND(RIGHT(A13,2) &gt;='Tabla Vencimiento'!$A$29,RIGHT(A13,2) &lt;='Tabla Vencimiento'!$B$29),'Tabla Vencimiento'!$D$29,IF(AND(RIGHT(A13,2) &gt;='Tabla Vencimiento'!$A$30,RIGHT(A13,2) &lt;='Tabla Vencimiento'!$B$30),'Tabla Vencimiento'!$D$30,IF(AND(RIGHT(A13,2) &gt;='Tabla Vencimiento'!$A$31,RIGHT(A13,2) &lt;='Tabla Vencimiento'!$B$31),'Tabla Vencimiento'!$D$31,IF(AND(RIGHT(A13,2) &gt;='Tabla Vencimiento'!$A$32,RIGHT(A13,2) &lt;='Tabla Vencimiento'!$B$32),'Tabla Vencimiento'!$D$32,IF(AND(RIGHT(A13,2) &gt;='Tabla Vencimiento'!$A$33,RIGHT(A13,2) &lt;='Tabla Vencimiento'!$B$33),'Tabla Vencimiento'!$D$33,IF(AND(RIGHT(A13,2) &gt;='Tabla Vencimiento'!$A$34,RIGHT(A13,2) &lt;='Tabla Vencimiento'!$B$34),'Tabla Vencimiento'!$D$34,IF(AND(RIGHT(A13,2) &gt;='Tabla Vencimiento'!$A$35),'Tabla Vencimiento'!$D$35,0))))))))))))))))))))</f>
        <v>0</v>
      </c>
    </row>
    <row r="14" spans="1:14" x14ac:dyDescent="0.45">
      <c r="A14" s="52"/>
      <c r="B14" s="52"/>
      <c r="C14" s="52"/>
      <c r="D14" s="52"/>
      <c r="E14" s="52"/>
      <c r="F14" s="56" t="b">
        <f ca="1">IFERROR(+IF(MONTH(TODAY())=2,VLOOKUP(RIGHT(A14,1),'Tabla Vencimiento'!$A$3:$B$12,2,IF(MONTH(TODAY())=3,VLOOKUP(RIGHT(A14,1),'Tabla Vencimiento'!$A$3:$C$12,3),IF(MONTH(TODAY())=4,VLOOKUP(RIGHT(A14,1),'Tabla Vencimiento'!$A$3:$D$12,4),IF(MONTH(TODAY())=5,VLOOKUP(RIGHT(A14,1),'Tabla Vencimiento'!$A$3:$E$12,5,0),IF(MONTH(TODAY())=6,VLOOKUP(RIGHT(A14,1),'Tabla Vencimiento'!$A$3:$F$12,6),IF(MONTH(TODAY())=7,VLOOKUP(RIGHT(A14,1),'Tabla Vencimiento'!$A$3:$G$12,7),IF(MONTH(TODAY())=8,VLOOKUP(RIGHT(A14,1),'Tabla Vencimiento'!$A$3:$H$12,8),IF(MONTH(TODAY())=9,VLOOKUP(RIGHT(A14,1),'Tabla Vencimiento'!$A$3:$I$12,9),IF(MONTH(TODAY())=10,VLOOKUP(RIGHT(A14,1),'Tabla Vencimiento'!$A$3:$J$12,10),IF(MONTH(TODAY())=11,VLOOKUP(RIGHT(A14,1),'Tabla Vencimiento'!$A$3:$K$12,11),IF(MONTH(TODAY())=12,VLOOKUP(RIGHT(A14,1),'Tabla Vencimiento'!$A$3:$L$12,12),0)))))))))))),0)</f>
        <v>0</v>
      </c>
      <c r="G14" s="56">
        <f ca="1">IFERROR(+IF(C14="No Responsable", 0,+IF(D14="Tributación Simple", 0,+IF(AND(C14="Bimestral",MONTH(TODAY())-1&lt;=2),VLOOKUP(RIGHT(A14,1),'Tabla Vencimiento'!$A$3:$C$12,3,0),IF(AND(C14="Bimestral",MONTH(TODAY())-1&lt;=4),VLOOKUP(RIGHT(A14,1),'Tabla Vencimiento'!$A$3:$E$12,5,0),IF(AND(C14="Bimestral",MONTH(TODAY())-1&lt;=6),VLOOKUP(RIGHT(A14,1),'Tabla Vencimiento'!$A$3:$G$12,7,0),IF(AND(C14="Bimestral",MONTH(TODAY())-1&lt;=8),VLOOKUP(RIGHT(A14,1),'Tabla Vencimiento'!$A$3:$I$12,9,0),IF(AND(C14="Bimestral",MONTH(TODAY())-1=10),VLOOKUP(RIGHT(A14,1),'Tabla Vencimiento'!$A$3:$K$12,11,0),IF(AND(C14="Bimestral",MONTH(TODAY())-1&lt;=12),VLOOKUP(RIGHT(A14,1),'Tabla Vencimiento'!$A$3:$M$12,13,0),IF(AND(C14="Cuatrimestral",MONTH(TODAY())-1&lt;=4),VLOOKUP(RIGHT(A14,1),'Tabla Vencimiento'!$A$3:$E$12,5,0),IF(AND(C14="Cuatrimestral",MONTH(TODAY())-1&lt;=8),VLOOKUP(RIGHT(A14,1),'Tabla Vencimiento'!$A$3:$I$12,9,0),IF(AND(C14="Cuatrimestral",MONTH(TODAY())-1&lt;=12),VLOOKUP(RIGHT(A14,1),'Tabla Vencimiento'!$A$3:$M$12,13,0),0))))))))))),0)</f>
        <v>0</v>
      </c>
      <c r="H14" s="57">
        <f ca="1">+IF(AND(D14="Tributación Simple",MONTH(TODAY())=2),VLOOKUP(RIGHT(A14,1),'Tabla Vencimiento'!$I$17:$J$26,2,0),0)</f>
        <v>0</v>
      </c>
      <c r="I14" s="56">
        <f ca="1">+IF(AND(D14="Tributación Simple",MONTH(TODAY())=2),VLOOKUP(RIGHT(A14,1),'Tabla Vencimiento'!$A$39:$G$48,2,0),+IF(AND(D14="Tributación Simple",MONTH(TODAY())=4),VLOOKUP(RIGHT(A14,1),'Tabla Vencimiento'!$A$39:$G$48,3,0),+IF(AND(D14="Tributación Simple",MONTH(TODAY())=6),VLOOKUP(RIGHT(A14,1),'Tabla Vencimiento'!$A$39:$G$48,4,0),+IF(AND(D14="Tributación Simple",MONTH(TODAY())=8),VLOOKUP(RIGHT(A14,1),'Tabla Vencimiento'!$A$39:$G$48,5,0),+IF(AND(D14="Tributación Simple",MONTH(TODAY())=10),VLOOKUP(RIGHT(A14,1),'Tabla Vencimiento'!$A$39:$G$48,6,0),+IF(AND(D14="Tributación Simple",MONTH(TODAY())=12),VLOOKUP(RIGHT(A14,1),'Tabla Vencimiento'!$A$39:$G$48,7,0),0))))))</f>
        <v>0</v>
      </c>
      <c r="J14" s="56">
        <f>+IF(AND(D14="Ordinario",E14="PN"),VLOOKUP(RIGHT(A14,2),'Tabla Vencimiento'!$I$40:$J$139,2,0),+IF(AND(D14="Ordinario",E14="PN"),VLOOKUP(RIGHT(A14,2),'Tabla Vencimiento'!$J$40:$J$139,2,0),+IF(AND(D14="Tributación Simple",E14="PN"),0,+IF(AND(D14="Tributación Simple",E14="PJ"),0,+IF(AND(RIGHT(A14,2)&gt;='Tabla Vencimiento'!$A$16,RIGHT(A14,2)&lt;='Tabla Vencimiento'!$B$16),'Tabla Vencimiento'!$C$16,IF(AND(RIGHT(A14,2)&gt;='Tabla Vencimiento'!$A$17,RIGHT(A14,2)&lt;='Tabla Vencimiento'!$B$17),'Tabla Vencimiento'!$C$17,IF(AND(RIGHT(A14,2)&gt;='Tabla Vencimiento'!$A$18,RIGHT(A14,2)&lt;='Tabla Vencimiento'!$B$18),'Tabla Vencimiento'!$C$18,IF(AND(RIGHT(A14,2)&gt;='Tabla Vencimiento'!$A$19,RIGHT(A14,2)&lt;='Tabla Vencimiento'!$B$19),'Tabla Vencimiento'!$C$19,IF(AND(RIGHT(A14,2)&gt;='Tabla Vencimiento'!$A$20,RIGHT(A14,2)&lt;='Tabla Vencimiento'!$B$20),'Tabla Vencimiento'!$C$20,IF(AND(RIGHT(A14,2)&gt;='Tabla Vencimiento'!$A$21,RIGHT(A14,2)&lt;='Tabla Vencimiento'!$B$21),'Tabla Vencimiento'!$C$21,IF(AND(RIGHT(A14,2)&gt;='Tabla Vencimiento'!$A$22,RIGHT(A14,2)&lt;='Tabla Vencimiento'!$B$22),'Tabla Vencimiento'!$C$22,IF(AND(RIGHT(A14,2)&gt;='Tabla Vencimiento'!$A$23,RIGHT(A14,2)&lt;='Tabla Vencimiento'!$B$23),'Tabla Vencimiento'!$C$23,IF(AND(RIGHT(A14,2)&gt;='Tabla Vencimiento'!$A$24,RIGHT(A14,2)&lt;='Tabla Vencimiento'!$B$24),'Tabla Vencimiento'!$C$24,IF(AND(RIGHT(A14,2)&gt;='Tabla Vencimiento'!$A$25,RIGHT(A14,2)&lt;='Tabla Vencimiento'!$B$25),'Tabla Vencimiento'!$C$25,IF(AND(RIGHT(A14,2)&gt;='Tabla Vencimiento'!$A$26,RIGHT(A14,2)&lt;='Tabla Vencimiento'!$B$26),'Tabla Vencimiento'!$C$26,IF(AND(RIGHT(A14,2)&gt;='Tabla Vencimiento'!$A$27,RIGHT(A14,2)&lt;='Tabla Vencimiento'!$B$27),'Tabla Vencimiento'!$C$27,IF(AND(RIGHT(A14,2)&gt;='Tabla Vencimiento'!$A$28,RIGHT(A14,2)&lt;='Tabla Vencimiento'!$B$28),'Tabla Vencimiento'!$C$28,IF(AND(RIGHT(A14,2)&gt;='Tabla Vencimiento'!$A$29,RIGHT(A14,2)&lt;='Tabla Vencimiento'!$B$29),'Tabla Vencimiento'!$C$29,IF(AND(RIGHT(A14,2)&gt;='Tabla Vencimiento'!$A$30,RIGHT(A14,2)&lt;='Tabla Vencimiento'!$B$30),'Tabla Vencimiento'!$C$30,IF(AND(RIGHT(A14,2)&gt;='Tabla Vencimiento'!$A$31,RIGHT(A14,2)&lt;='Tabla Vencimiento'!$B$31),'Tabla Vencimiento'!$C$31,IF(AND(RIGHT(A14,2)&gt;='Tabla Vencimiento'!$A$32,RIGHT(A14,2)&lt;='Tabla Vencimiento'!$B$32),'Tabla Vencimiento'!$C$32,IF(AND(RIGHT(A14,2)&gt;='Tabla Vencimiento'!$A$33,RIGHT(A14,2)&lt;='Tabla Vencimiento'!$B$33),'Tabla Vencimiento'!$C$33,IF(AND(RIGHT(A14,2)&gt;='Tabla Vencimiento'!$A$34,RIGHT(A14,2)&lt;='Tabla Vencimiento'!$B$34),'Tabla Vencimiento'!$C$34,IF(AND(RIGHT(A14,2)&gt;='Tabla Vencimiento'!$A$35),'Tabla Vencimiento'!$C$35,0))))))))))))))))))))))))</f>
        <v>0</v>
      </c>
      <c r="K14" s="56">
        <f>+IF((D14="Tributación Simple"),VLOOKUP(RIGHT(A14,1),'Tabla Vencimiento'!$F$17:$G$26,2,0),0)</f>
        <v>0</v>
      </c>
      <c r="L14" s="56">
        <f>+IF(AND(RIGHT(A14,2) &gt;='Tabla Vencimiento'!$A$16,RIGHT(A14,2) &lt;='Tabla Vencimiento'!$B$16),'Tabla Vencimiento'!$D$16,IF(AND(RIGHT(A14,2) &gt;='Tabla Vencimiento'!$A$17,RIGHT(A14,2) &lt;='Tabla Vencimiento'!$B$17),'Tabla Vencimiento'!$D$17,IF(AND(RIGHT(A14,2) &gt;='Tabla Vencimiento'!$A$18,RIGHT(A14,2) &lt;='Tabla Vencimiento'!$B$18),'Tabla Vencimiento'!$D$18,IF(AND(RIGHT(A14,2) &gt;='Tabla Vencimiento'!$A$19,RIGHT(A14,2) &lt;='Tabla Vencimiento'!$B$19),'Tabla Vencimiento'!$D$19,IF(AND(RIGHT(A14,2) &gt;='Tabla Vencimiento'!$A$20,RIGHT(A14,2) &lt;='Tabla Vencimiento'!$B$20),'Tabla Vencimiento'!$D$20,IF(AND(RIGHT(A14,2) &gt;='Tabla Vencimiento'!$A$21,RIGHT(A14,2) &lt;='Tabla Vencimiento'!$B$21),'Tabla Vencimiento'!$D$21,IF(AND(RIGHT(A14,2) &gt;='Tabla Vencimiento'!$A$22,RIGHT(A14,2) &lt;='Tabla Vencimiento'!$B$22),'Tabla Vencimiento'!$D$22,IF(AND(RIGHT(A14,2) &gt;='Tabla Vencimiento'!$A$23,RIGHT(A14,2) &lt;='Tabla Vencimiento'!$B$23),'Tabla Vencimiento'!$D$23,IF(AND(RIGHT(A14,2) &gt;='Tabla Vencimiento'!$A$24,RIGHT(A14,2) &lt;='Tabla Vencimiento'!$B$24),'Tabla Vencimiento'!$D$24,IF(AND(RIGHT(A14,2) &gt;='Tabla Vencimiento'!$A$25,RIGHT(A14,2) &lt;='Tabla Vencimiento'!$B$25),'Tabla Vencimiento'!$D$25,IF(AND(RIGHT(A14,2) &gt;='Tabla Vencimiento'!$A$26,RIGHT(A14,2) &lt;='Tabla Vencimiento'!$B$26),'Tabla Vencimiento'!$D$26,IF(AND(RIGHT(A14,2) &gt;='Tabla Vencimiento'!$A$27,RIGHT(A14,2) &lt;='Tabla Vencimiento'!$B$27),'Tabla Vencimiento'!$D$27,IF(AND(RIGHT(A14,2) &gt;='Tabla Vencimiento'!$A$28,RIGHT(A14,2) &lt;='Tabla Vencimiento'!$B$28),'Tabla Vencimiento'!$D$28,IF(AND(RIGHT(A14,2) &gt;='Tabla Vencimiento'!$A$29,RIGHT(A14,2) &lt;='Tabla Vencimiento'!$B$29),'Tabla Vencimiento'!$D$29,IF(AND(RIGHT(A14,2) &gt;='Tabla Vencimiento'!$A$30,RIGHT(A14,2) &lt;='Tabla Vencimiento'!$B$30),'Tabla Vencimiento'!$D$30,IF(AND(RIGHT(A14,2) &gt;='Tabla Vencimiento'!$A$31,RIGHT(A14,2) &lt;='Tabla Vencimiento'!$B$31),'Tabla Vencimiento'!$D$31,IF(AND(RIGHT(A14,2) &gt;='Tabla Vencimiento'!$A$32,RIGHT(A14,2) &lt;='Tabla Vencimiento'!$B$32),'Tabla Vencimiento'!$D$32,IF(AND(RIGHT(A14,2) &gt;='Tabla Vencimiento'!$A$33,RIGHT(A14,2) &lt;='Tabla Vencimiento'!$B$33),'Tabla Vencimiento'!$D$33,IF(AND(RIGHT(A14,2) &gt;='Tabla Vencimiento'!$A$34,RIGHT(A14,2) &lt;='Tabla Vencimiento'!$B$34),'Tabla Vencimiento'!$D$34,IF(AND(RIGHT(A14,2) &gt;='Tabla Vencimiento'!$A$35),'Tabla Vencimiento'!$D$35,0))))))))))))))))))))</f>
        <v>0</v>
      </c>
    </row>
    <row r="15" spans="1:14" x14ac:dyDescent="0.45">
      <c r="A15" s="52"/>
      <c r="B15" s="52"/>
      <c r="C15" s="52"/>
      <c r="D15" s="52"/>
      <c r="E15" s="52"/>
      <c r="F15" s="56" t="b">
        <f ca="1">IFERROR(+IF(MONTH(TODAY())=2,VLOOKUP(RIGHT(A15,1),'Tabla Vencimiento'!$A$3:$B$12,2,IF(MONTH(TODAY())=3,VLOOKUP(RIGHT(A15,1),'Tabla Vencimiento'!$A$3:$C$12,3),IF(MONTH(TODAY())=4,VLOOKUP(RIGHT(A15,1),'Tabla Vencimiento'!$A$3:$D$12,4),IF(MONTH(TODAY())=5,VLOOKUP(RIGHT(A15,1),'Tabla Vencimiento'!$A$3:$E$12,5,0),IF(MONTH(TODAY())=6,VLOOKUP(RIGHT(A15,1),'Tabla Vencimiento'!$A$3:$F$12,6),IF(MONTH(TODAY())=7,VLOOKUP(RIGHT(A15,1),'Tabla Vencimiento'!$A$3:$G$12,7),IF(MONTH(TODAY())=8,VLOOKUP(RIGHT(A15,1),'Tabla Vencimiento'!$A$3:$H$12,8),IF(MONTH(TODAY())=9,VLOOKUP(RIGHT(A15,1),'Tabla Vencimiento'!$A$3:$I$12,9),IF(MONTH(TODAY())=10,VLOOKUP(RIGHT(A15,1),'Tabla Vencimiento'!$A$3:$J$12,10),IF(MONTH(TODAY())=11,VLOOKUP(RIGHT(A15,1),'Tabla Vencimiento'!$A$3:$K$12,11),IF(MONTH(TODAY())=12,VLOOKUP(RIGHT(A15,1),'Tabla Vencimiento'!$A$3:$L$12,12),0)))))))))))),0)</f>
        <v>0</v>
      </c>
      <c r="G15" s="56">
        <f ca="1">IFERROR(+IF(C15="No Responsable", 0,+IF(D15="Tributación Simple", 0,+IF(AND(C15="Bimestral",MONTH(TODAY())-1&lt;=2),VLOOKUP(RIGHT(A15,1),'Tabla Vencimiento'!$A$3:$C$12,3,0),IF(AND(C15="Bimestral",MONTH(TODAY())-1&lt;=4),VLOOKUP(RIGHT(A15,1),'Tabla Vencimiento'!$A$3:$E$12,5,0),IF(AND(C15="Bimestral",MONTH(TODAY())-1&lt;=6),VLOOKUP(RIGHT(A15,1),'Tabla Vencimiento'!$A$3:$G$12,7,0),IF(AND(C15="Bimestral",MONTH(TODAY())-1&lt;=8),VLOOKUP(RIGHT(A15,1),'Tabla Vencimiento'!$A$3:$I$12,9,0),IF(AND(C15="Bimestral",MONTH(TODAY())-1=10),VLOOKUP(RIGHT(A15,1),'Tabla Vencimiento'!$A$3:$K$12,11,0),IF(AND(C15="Bimestral",MONTH(TODAY())-1&lt;=12),VLOOKUP(RIGHT(A15,1),'Tabla Vencimiento'!$A$3:$M$12,13,0),IF(AND(C15="Cuatrimestral",MONTH(TODAY())-1&lt;=4),VLOOKUP(RIGHT(A15,1),'Tabla Vencimiento'!$A$3:$E$12,5,0),IF(AND(C15="Cuatrimestral",MONTH(TODAY())-1&lt;=8),VLOOKUP(RIGHT(A15,1),'Tabla Vencimiento'!$A$3:$I$12,9,0),IF(AND(C15="Cuatrimestral",MONTH(TODAY())-1&lt;=12),VLOOKUP(RIGHT(A15,1),'Tabla Vencimiento'!$A$3:$M$12,13,0),0))))))))))),0)</f>
        <v>0</v>
      </c>
      <c r="H15" s="57">
        <f ca="1">+IF(AND(D15="Tributación Simple",MONTH(TODAY())=2),VLOOKUP(RIGHT(A15,1),'Tabla Vencimiento'!$I$17:$J$26,2,0),0)</f>
        <v>0</v>
      </c>
      <c r="I15" s="56">
        <f ca="1">+IF(AND(D15="Tributación Simple",MONTH(TODAY())=2),VLOOKUP(RIGHT(A15,1),'Tabla Vencimiento'!$A$39:$G$48,2,0),+IF(AND(D15="Tributación Simple",MONTH(TODAY())=4),VLOOKUP(RIGHT(A15,1),'Tabla Vencimiento'!$A$39:$G$48,3,0),+IF(AND(D15="Tributación Simple",MONTH(TODAY())=6),VLOOKUP(RIGHT(A15,1),'Tabla Vencimiento'!$A$39:$G$48,4,0),+IF(AND(D15="Tributación Simple",MONTH(TODAY())=8),VLOOKUP(RIGHT(A15,1),'Tabla Vencimiento'!$A$39:$G$48,5,0),+IF(AND(D15="Tributación Simple",MONTH(TODAY())=10),VLOOKUP(RIGHT(A15,1),'Tabla Vencimiento'!$A$39:$G$48,6,0),+IF(AND(D15="Tributación Simple",MONTH(TODAY())=12),VLOOKUP(RIGHT(A15,1),'Tabla Vencimiento'!$A$39:$G$48,7,0),0))))))</f>
        <v>0</v>
      </c>
      <c r="J15" s="56">
        <f>+IF(AND(D15="Ordinario",E15="PN"),VLOOKUP(RIGHT(A15,2),'Tabla Vencimiento'!$I$40:$J$139,2,0),+IF(AND(D15="Ordinario",E15="PN"),VLOOKUP(RIGHT(A15,2),'Tabla Vencimiento'!$J$40:$J$139,2,0),+IF(AND(D15="Tributación Simple",E15="PN"),0,+IF(AND(D15="Tributación Simple",E15="PJ"),0,+IF(AND(RIGHT(A15,2)&gt;='Tabla Vencimiento'!$A$16,RIGHT(A15,2)&lt;='Tabla Vencimiento'!$B$16),'Tabla Vencimiento'!$C$16,IF(AND(RIGHT(A15,2)&gt;='Tabla Vencimiento'!$A$17,RIGHT(A15,2)&lt;='Tabla Vencimiento'!$B$17),'Tabla Vencimiento'!$C$17,IF(AND(RIGHT(A15,2)&gt;='Tabla Vencimiento'!$A$18,RIGHT(A15,2)&lt;='Tabla Vencimiento'!$B$18),'Tabla Vencimiento'!$C$18,IF(AND(RIGHT(A15,2)&gt;='Tabla Vencimiento'!$A$19,RIGHT(A15,2)&lt;='Tabla Vencimiento'!$B$19),'Tabla Vencimiento'!$C$19,IF(AND(RIGHT(A15,2)&gt;='Tabla Vencimiento'!$A$20,RIGHT(A15,2)&lt;='Tabla Vencimiento'!$B$20),'Tabla Vencimiento'!$C$20,IF(AND(RIGHT(A15,2)&gt;='Tabla Vencimiento'!$A$21,RIGHT(A15,2)&lt;='Tabla Vencimiento'!$B$21),'Tabla Vencimiento'!$C$21,IF(AND(RIGHT(A15,2)&gt;='Tabla Vencimiento'!$A$22,RIGHT(A15,2)&lt;='Tabla Vencimiento'!$B$22),'Tabla Vencimiento'!$C$22,IF(AND(RIGHT(A15,2)&gt;='Tabla Vencimiento'!$A$23,RIGHT(A15,2)&lt;='Tabla Vencimiento'!$B$23),'Tabla Vencimiento'!$C$23,IF(AND(RIGHT(A15,2)&gt;='Tabla Vencimiento'!$A$24,RIGHT(A15,2)&lt;='Tabla Vencimiento'!$B$24),'Tabla Vencimiento'!$C$24,IF(AND(RIGHT(A15,2)&gt;='Tabla Vencimiento'!$A$25,RIGHT(A15,2)&lt;='Tabla Vencimiento'!$B$25),'Tabla Vencimiento'!$C$25,IF(AND(RIGHT(A15,2)&gt;='Tabla Vencimiento'!$A$26,RIGHT(A15,2)&lt;='Tabla Vencimiento'!$B$26),'Tabla Vencimiento'!$C$26,IF(AND(RIGHT(A15,2)&gt;='Tabla Vencimiento'!$A$27,RIGHT(A15,2)&lt;='Tabla Vencimiento'!$B$27),'Tabla Vencimiento'!$C$27,IF(AND(RIGHT(A15,2)&gt;='Tabla Vencimiento'!$A$28,RIGHT(A15,2)&lt;='Tabla Vencimiento'!$B$28),'Tabla Vencimiento'!$C$28,IF(AND(RIGHT(A15,2)&gt;='Tabla Vencimiento'!$A$29,RIGHT(A15,2)&lt;='Tabla Vencimiento'!$B$29),'Tabla Vencimiento'!$C$29,IF(AND(RIGHT(A15,2)&gt;='Tabla Vencimiento'!$A$30,RIGHT(A15,2)&lt;='Tabla Vencimiento'!$B$30),'Tabla Vencimiento'!$C$30,IF(AND(RIGHT(A15,2)&gt;='Tabla Vencimiento'!$A$31,RIGHT(A15,2)&lt;='Tabla Vencimiento'!$B$31),'Tabla Vencimiento'!$C$31,IF(AND(RIGHT(A15,2)&gt;='Tabla Vencimiento'!$A$32,RIGHT(A15,2)&lt;='Tabla Vencimiento'!$B$32),'Tabla Vencimiento'!$C$32,IF(AND(RIGHT(A15,2)&gt;='Tabla Vencimiento'!$A$33,RIGHT(A15,2)&lt;='Tabla Vencimiento'!$B$33),'Tabla Vencimiento'!$C$33,IF(AND(RIGHT(A15,2)&gt;='Tabla Vencimiento'!$A$34,RIGHT(A15,2)&lt;='Tabla Vencimiento'!$B$34),'Tabla Vencimiento'!$C$34,IF(AND(RIGHT(A15,2)&gt;='Tabla Vencimiento'!$A$35),'Tabla Vencimiento'!$C$35,0))))))))))))))))))))))))</f>
        <v>0</v>
      </c>
      <c r="K15" s="56">
        <f>+IF((D15="Tributación Simple"),VLOOKUP(RIGHT(A15,1),'Tabla Vencimiento'!$F$17:$G$26,2,0),0)</f>
        <v>0</v>
      </c>
      <c r="L15" s="56">
        <f>+IF(AND(RIGHT(A15,2) &gt;='Tabla Vencimiento'!$A$16,RIGHT(A15,2) &lt;='Tabla Vencimiento'!$B$16),'Tabla Vencimiento'!$D$16,IF(AND(RIGHT(A15,2) &gt;='Tabla Vencimiento'!$A$17,RIGHT(A15,2) &lt;='Tabla Vencimiento'!$B$17),'Tabla Vencimiento'!$D$17,IF(AND(RIGHT(A15,2) &gt;='Tabla Vencimiento'!$A$18,RIGHT(A15,2) &lt;='Tabla Vencimiento'!$B$18),'Tabla Vencimiento'!$D$18,IF(AND(RIGHT(A15,2) &gt;='Tabla Vencimiento'!$A$19,RIGHT(A15,2) &lt;='Tabla Vencimiento'!$B$19),'Tabla Vencimiento'!$D$19,IF(AND(RIGHT(A15,2) &gt;='Tabla Vencimiento'!$A$20,RIGHT(A15,2) &lt;='Tabla Vencimiento'!$B$20),'Tabla Vencimiento'!$D$20,IF(AND(RIGHT(A15,2) &gt;='Tabla Vencimiento'!$A$21,RIGHT(A15,2) &lt;='Tabla Vencimiento'!$B$21),'Tabla Vencimiento'!$D$21,IF(AND(RIGHT(A15,2) &gt;='Tabla Vencimiento'!$A$22,RIGHT(A15,2) &lt;='Tabla Vencimiento'!$B$22),'Tabla Vencimiento'!$D$22,IF(AND(RIGHT(A15,2) &gt;='Tabla Vencimiento'!$A$23,RIGHT(A15,2) &lt;='Tabla Vencimiento'!$B$23),'Tabla Vencimiento'!$D$23,IF(AND(RIGHT(A15,2) &gt;='Tabla Vencimiento'!$A$24,RIGHT(A15,2) &lt;='Tabla Vencimiento'!$B$24),'Tabla Vencimiento'!$D$24,IF(AND(RIGHT(A15,2) &gt;='Tabla Vencimiento'!$A$25,RIGHT(A15,2) &lt;='Tabla Vencimiento'!$B$25),'Tabla Vencimiento'!$D$25,IF(AND(RIGHT(A15,2) &gt;='Tabla Vencimiento'!$A$26,RIGHT(A15,2) &lt;='Tabla Vencimiento'!$B$26),'Tabla Vencimiento'!$D$26,IF(AND(RIGHT(A15,2) &gt;='Tabla Vencimiento'!$A$27,RIGHT(A15,2) &lt;='Tabla Vencimiento'!$B$27),'Tabla Vencimiento'!$D$27,IF(AND(RIGHT(A15,2) &gt;='Tabla Vencimiento'!$A$28,RIGHT(A15,2) &lt;='Tabla Vencimiento'!$B$28),'Tabla Vencimiento'!$D$28,IF(AND(RIGHT(A15,2) &gt;='Tabla Vencimiento'!$A$29,RIGHT(A15,2) &lt;='Tabla Vencimiento'!$B$29),'Tabla Vencimiento'!$D$29,IF(AND(RIGHT(A15,2) &gt;='Tabla Vencimiento'!$A$30,RIGHT(A15,2) &lt;='Tabla Vencimiento'!$B$30),'Tabla Vencimiento'!$D$30,IF(AND(RIGHT(A15,2) &gt;='Tabla Vencimiento'!$A$31,RIGHT(A15,2) &lt;='Tabla Vencimiento'!$B$31),'Tabla Vencimiento'!$D$31,IF(AND(RIGHT(A15,2) &gt;='Tabla Vencimiento'!$A$32,RIGHT(A15,2) &lt;='Tabla Vencimiento'!$B$32),'Tabla Vencimiento'!$D$32,IF(AND(RIGHT(A15,2) &gt;='Tabla Vencimiento'!$A$33,RIGHT(A15,2) &lt;='Tabla Vencimiento'!$B$33),'Tabla Vencimiento'!$D$33,IF(AND(RIGHT(A15,2) &gt;='Tabla Vencimiento'!$A$34,RIGHT(A15,2) &lt;='Tabla Vencimiento'!$B$34),'Tabla Vencimiento'!$D$34,IF(AND(RIGHT(A15,2) &gt;='Tabla Vencimiento'!$A$35),'Tabla Vencimiento'!$D$35,0))))))))))))))))))))</f>
        <v>0</v>
      </c>
    </row>
    <row r="16" spans="1:14" x14ac:dyDescent="0.45">
      <c r="A16" s="52"/>
      <c r="B16" s="52"/>
      <c r="C16" s="52"/>
      <c r="D16" s="52"/>
      <c r="E16" s="52"/>
      <c r="F16" s="56" t="b">
        <f ca="1">IFERROR(+IF(MONTH(TODAY())=2,VLOOKUP(RIGHT(A16,1),'Tabla Vencimiento'!$A$3:$B$12,2,IF(MONTH(TODAY())=3,VLOOKUP(RIGHT(A16,1),'Tabla Vencimiento'!$A$3:$C$12,3),IF(MONTH(TODAY())=4,VLOOKUP(RIGHT(A16,1),'Tabla Vencimiento'!$A$3:$D$12,4),IF(MONTH(TODAY())=5,VLOOKUP(RIGHT(A16,1),'Tabla Vencimiento'!$A$3:$E$12,5,0),IF(MONTH(TODAY())=6,VLOOKUP(RIGHT(A16,1),'Tabla Vencimiento'!$A$3:$F$12,6),IF(MONTH(TODAY())=7,VLOOKUP(RIGHT(A16,1),'Tabla Vencimiento'!$A$3:$G$12,7),IF(MONTH(TODAY())=8,VLOOKUP(RIGHT(A16,1),'Tabla Vencimiento'!$A$3:$H$12,8),IF(MONTH(TODAY())=9,VLOOKUP(RIGHT(A16,1),'Tabla Vencimiento'!$A$3:$I$12,9),IF(MONTH(TODAY())=10,VLOOKUP(RIGHT(A16,1),'Tabla Vencimiento'!$A$3:$J$12,10),IF(MONTH(TODAY())=11,VLOOKUP(RIGHT(A16,1),'Tabla Vencimiento'!$A$3:$K$12,11),IF(MONTH(TODAY())=12,VLOOKUP(RIGHT(A16,1),'Tabla Vencimiento'!$A$3:$L$12,12),0)))))))))))),0)</f>
        <v>0</v>
      </c>
      <c r="G16" s="56">
        <f ca="1">IFERROR(+IF(C16="No Responsable", 0,+IF(D16="Tributación Simple", 0,+IF(AND(C16="Bimestral",MONTH(TODAY())-1&lt;=2),VLOOKUP(RIGHT(A16,1),'Tabla Vencimiento'!$A$3:$C$12,3,0),IF(AND(C16="Bimestral",MONTH(TODAY())-1&lt;=4),VLOOKUP(RIGHT(A16,1),'Tabla Vencimiento'!$A$3:$E$12,5,0),IF(AND(C16="Bimestral",MONTH(TODAY())-1&lt;=6),VLOOKUP(RIGHT(A16,1),'Tabla Vencimiento'!$A$3:$G$12,7,0),IF(AND(C16="Bimestral",MONTH(TODAY())-1&lt;=8),VLOOKUP(RIGHT(A16,1),'Tabla Vencimiento'!$A$3:$I$12,9,0),IF(AND(C16="Bimestral",MONTH(TODAY())-1=10),VLOOKUP(RIGHT(A16,1),'Tabla Vencimiento'!$A$3:$K$12,11,0),IF(AND(C16="Bimestral",MONTH(TODAY())-1&lt;=12),VLOOKUP(RIGHT(A16,1),'Tabla Vencimiento'!$A$3:$M$12,13,0),IF(AND(C16="Cuatrimestral",MONTH(TODAY())-1&lt;=4),VLOOKUP(RIGHT(A16,1),'Tabla Vencimiento'!$A$3:$E$12,5,0),IF(AND(C16="Cuatrimestral",MONTH(TODAY())-1&lt;=8),VLOOKUP(RIGHT(A16,1),'Tabla Vencimiento'!$A$3:$I$12,9,0),IF(AND(C16="Cuatrimestral",MONTH(TODAY())-1&lt;=12),VLOOKUP(RIGHT(A16,1),'Tabla Vencimiento'!$A$3:$M$12,13,0),0))))))))))),0)</f>
        <v>0</v>
      </c>
      <c r="H16" s="57">
        <f ca="1">+IF(AND(D16="Tributación Simple",MONTH(TODAY())=2),VLOOKUP(RIGHT(A16,1),'Tabla Vencimiento'!$I$17:$J$26,2,0),0)</f>
        <v>0</v>
      </c>
      <c r="I16" s="56">
        <f ca="1">+IF(AND(D16="Tributación Simple",MONTH(TODAY())=2),VLOOKUP(RIGHT(A16,1),'Tabla Vencimiento'!$A$39:$G$48,2,0),+IF(AND(D16="Tributación Simple",MONTH(TODAY())=4),VLOOKUP(RIGHT(A16,1),'Tabla Vencimiento'!$A$39:$G$48,3,0),+IF(AND(D16="Tributación Simple",MONTH(TODAY())=6),VLOOKUP(RIGHT(A16,1),'Tabla Vencimiento'!$A$39:$G$48,4,0),+IF(AND(D16="Tributación Simple",MONTH(TODAY())=8),VLOOKUP(RIGHT(A16,1),'Tabla Vencimiento'!$A$39:$G$48,5,0),+IF(AND(D16="Tributación Simple",MONTH(TODAY())=10),VLOOKUP(RIGHT(A16,1),'Tabla Vencimiento'!$A$39:$G$48,6,0),+IF(AND(D16="Tributación Simple",MONTH(TODAY())=12),VLOOKUP(RIGHT(A16,1),'Tabla Vencimiento'!$A$39:$G$48,7,0),0))))))</f>
        <v>0</v>
      </c>
      <c r="J16" s="56">
        <f>+IF(AND(D16="Ordinario",E16="PN"),VLOOKUP(RIGHT(A16,2),'Tabla Vencimiento'!$I$40:$J$139,2,0),+IF(AND(D16="Ordinario",E16="PN"),VLOOKUP(RIGHT(A16,2),'Tabla Vencimiento'!$J$40:$J$139,2,0),+IF(AND(D16="Tributación Simple",E16="PN"),0,+IF(AND(D16="Tributación Simple",E16="PJ"),0,+IF(AND(RIGHT(A16,2)&gt;='Tabla Vencimiento'!$A$16,RIGHT(A16,2)&lt;='Tabla Vencimiento'!$B$16),'Tabla Vencimiento'!$C$16,IF(AND(RIGHT(A16,2)&gt;='Tabla Vencimiento'!$A$17,RIGHT(A16,2)&lt;='Tabla Vencimiento'!$B$17),'Tabla Vencimiento'!$C$17,IF(AND(RIGHT(A16,2)&gt;='Tabla Vencimiento'!$A$18,RIGHT(A16,2)&lt;='Tabla Vencimiento'!$B$18),'Tabla Vencimiento'!$C$18,IF(AND(RIGHT(A16,2)&gt;='Tabla Vencimiento'!$A$19,RIGHT(A16,2)&lt;='Tabla Vencimiento'!$B$19),'Tabla Vencimiento'!$C$19,IF(AND(RIGHT(A16,2)&gt;='Tabla Vencimiento'!$A$20,RIGHT(A16,2)&lt;='Tabla Vencimiento'!$B$20),'Tabla Vencimiento'!$C$20,IF(AND(RIGHT(A16,2)&gt;='Tabla Vencimiento'!$A$21,RIGHT(A16,2)&lt;='Tabla Vencimiento'!$B$21),'Tabla Vencimiento'!$C$21,IF(AND(RIGHT(A16,2)&gt;='Tabla Vencimiento'!$A$22,RIGHT(A16,2)&lt;='Tabla Vencimiento'!$B$22),'Tabla Vencimiento'!$C$22,IF(AND(RIGHT(A16,2)&gt;='Tabla Vencimiento'!$A$23,RIGHT(A16,2)&lt;='Tabla Vencimiento'!$B$23),'Tabla Vencimiento'!$C$23,IF(AND(RIGHT(A16,2)&gt;='Tabla Vencimiento'!$A$24,RIGHT(A16,2)&lt;='Tabla Vencimiento'!$B$24),'Tabla Vencimiento'!$C$24,IF(AND(RIGHT(A16,2)&gt;='Tabla Vencimiento'!$A$25,RIGHT(A16,2)&lt;='Tabla Vencimiento'!$B$25),'Tabla Vencimiento'!$C$25,IF(AND(RIGHT(A16,2)&gt;='Tabla Vencimiento'!$A$26,RIGHT(A16,2)&lt;='Tabla Vencimiento'!$B$26),'Tabla Vencimiento'!$C$26,IF(AND(RIGHT(A16,2)&gt;='Tabla Vencimiento'!$A$27,RIGHT(A16,2)&lt;='Tabla Vencimiento'!$B$27),'Tabla Vencimiento'!$C$27,IF(AND(RIGHT(A16,2)&gt;='Tabla Vencimiento'!$A$28,RIGHT(A16,2)&lt;='Tabla Vencimiento'!$B$28),'Tabla Vencimiento'!$C$28,IF(AND(RIGHT(A16,2)&gt;='Tabla Vencimiento'!$A$29,RIGHT(A16,2)&lt;='Tabla Vencimiento'!$B$29),'Tabla Vencimiento'!$C$29,IF(AND(RIGHT(A16,2)&gt;='Tabla Vencimiento'!$A$30,RIGHT(A16,2)&lt;='Tabla Vencimiento'!$B$30),'Tabla Vencimiento'!$C$30,IF(AND(RIGHT(A16,2)&gt;='Tabla Vencimiento'!$A$31,RIGHT(A16,2)&lt;='Tabla Vencimiento'!$B$31),'Tabla Vencimiento'!$C$31,IF(AND(RIGHT(A16,2)&gt;='Tabla Vencimiento'!$A$32,RIGHT(A16,2)&lt;='Tabla Vencimiento'!$B$32),'Tabla Vencimiento'!$C$32,IF(AND(RIGHT(A16,2)&gt;='Tabla Vencimiento'!$A$33,RIGHT(A16,2)&lt;='Tabla Vencimiento'!$B$33),'Tabla Vencimiento'!$C$33,IF(AND(RIGHT(A16,2)&gt;='Tabla Vencimiento'!$A$34,RIGHT(A16,2)&lt;='Tabla Vencimiento'!$B$34),'Tabla Vencimiento'!$C$34,IF(AND(RIGHT(A16,2)&gt;='Tabla Vencimiento'!$A$35),'Tabla Vencimiento'!$C$35,0))))))))))))))))))))))))</f>
        <v>0</v>
      </c>
      <c r="K16" s="56">
        <f>+IF((D16="Tributación Simple"),VLOOKUP(RIGHT(A16,1),'Tabla Vencimiento'!$F$17:$G$26,2,0),0)</f>
        <v>0</v>
      </c>
      <c r="L16" s="56">
        <f>+IF(AND(RIGHT(A16,2) &gt;='Tabla Vencimiento'!$A$16,RIGHT(A16,2) &lt;='Tabla Vencimiento'!$B$16),'Tabla Vencimiento'!$D$16,IF(AND(RIGHT(A16,2) &gt;='Tabla Vencimiento'!$A$17,RIGHT(A16,2) &lt;='Tabla Vencimiento'!$B$17),'Tabla Vencimiento'!$D$17,IF(AND(RIGHT(A16,2) &gt;='Tabla Vencimiento'!$A$18,RIGHT(A16,2) &lt;='Tabla Vencimiento'!$B$18),'Tabla Vencimiento'!$D$18,IF(AND(RIGHT(A16,2) &gt;='Tabla Vencimiento'!$A$19,RIGHT(A16,2) &lt;='Tabla Vencimiento'!$B$19),'Tabla Vencimiento'!$D$19,IF(AND(RIGHT(A16,2) &gt;='Tabla Vencimiento'!$A$20,RIGHT(A16,2) &lt;='Tabla Vencimiento'!$B$20),'Tabla Vencimiento'!$D$20,IF(AND(RIGHT(A16,2) &gt;='Tabla Vencimiento'!$A$21,RIGHT(A16,2) &lt;='Tabla Vencimiento'!$B$21),'Tabla Vencimiento'!$D$21,IF(AND(RIGHT(A16,2) &gt;='Tabla Vencimiento'!$A$22,RIGHT(A16,2) &lt;='Tabla Vencimiento'!$B$22),'Tabla Vencimiento'!$D$22,IF(AND(RIGHT(A16,2) &gt;='Tabla Vencimiento'!$A$23,RIGHT(A16,2) &lt;='Tabla Vencimiento'!$B$23),'Tabla Vencimiento'!$D$23,IF(AND(RIGHT(A16,2) &gt;='Tabla Vencimiento'!$A$24,RIGHT(A16,2) &lt;='Tabla Vencimiento'!$B$24),'Tabla Vencimiento'!$D$24,IF(AND(RIGHT(A16,2) &gt;='Tabla Vencimiento'!$A$25,RIGHT(A16,2) &lt;='Tabla Vencimiento'!$B$25),'Tabla Vencimiento'!$D$25,IF(AND(RIGHT(A16,2) &gt;='Tabla Vencimiento'!$A$26,RIGHT(A16,2) &lt;='Tabla Vencimiento'!$B$26),'Tabla Vencimiento'!$D$26,IF(AND(RIGHT(A16,2) &gt;='Tabla Vencimiento'!$A$27,RIGHT(A16,2) &lt;='Tabla Vencimiento'!$B$27),'Tabla Vencimiento'!$D$27,IF(AND(RIGHT(A16,2) &gt;='Tabla Vencimiento'!$A$28,RIGHT(A16,2) &lt;='Tabla Vencimiento'!$B$28),'Tabla Vencimiento'!$D$28,IF(AND(RIGHT(A16,2) &gt;='Tabla Vencimiento'!$A$29,RIGHT(A16,2) &lt;='Tabla Vencimiento'!$B$29),'Tabla Vencimiento'!$D$29,IF(AND(RIGHT(A16,2) &gt;='Tabla Vencimiento'!$A$30,RIGHT(A16,2) &lt;='Tabla Vencimiento'!$B$30),'Tabla Vencimiento'!$D$30,IF(AND(RIGHT(A16,2) &gt;='Tabla Vencimiento'!$A$31,RIGHT(A16,2) &lt;='Tabla Vencimiento'!$B$31),'Tabla Vencimiento'!$D$31,IF(AND(RIGHT(A16,2) &gt;='Tabla Vencimiento'!$A$32,RIGHT(A16,2) &lt;='Tabla Vencimiento'!$B$32),'Tabla Vencimiento'!$D$32,IF(AND(RIGHT(A16,2) &gt;='Tabla Vencimiento'!$A$33,RIGHT(A16,2) &lt;='Tabla Vencimiento'!$B$33),'Tabla Vencimiento'!$D$33,IF(AND(RIGHT(A16,2) &gt;='Tabla Vencimiento'!$A$34,RIGHT(A16,2) &lt;='Tabla Vencimiento'!$B$34),'Tabla Vencimiento'!$D$34,IF(AND(RIGHT(A16,2) &gt;='Tabla Vencimiento'!$A$35),'Tabla Vencimiento'!$D$35,0))))))))))))))))))))</f>
        <v>0</v>
      </c>
      <c r="N16" s="53"/>
    </row>
    <row r="17" spans="1:12" x14ac:dyDescent="0.45">
      <c r="A17" s="52"/>
      <c r="B17" s="52"/>
      <c r="C17" s="52"/>
      <c r="D17" s="52"/>
      <c r="E17" s="52"/>
      <c r="F17" s="56" t="b">
        <f ca="1">IFERROR(+IF(MONTH(TODAY())=2,VLOOKUP(RIGHT(A17,1),'Tabla Vencimiento'!$A$3:$B$12,2,IF(MONTH(TODAY())=3,VLOOKUP(RIGHT(A17,1),'Tabla Vencimiento'!$A$3:$C$12,3),IF(MONTH(TODAY())=4,VLOOKUP(RIGHT(A17,1),'Tabla Vencimiento'!$A$3:$D$12,4),IF(MONTH(TODAY())=5,VLOOKUP(RIGHT(A17,1),'Tabla Vencimiento'!$A$3:$E$12,5,0),IF(MONTH(TODAY())=6,VLOOKUP(RIGHT(A17,1),'Tabla Vencimiento'!$A$3:$F$12,6),IF(MONTH(TODAY())=7,VLOOKUP(RIGHT(A17,1),'Tabla Vencimiento'!$A$3:$G$12,7),IF(MONTH(TODAY())=8,VLOOKUP(RIGHT(A17,1),'Tabla Vencimiento'!$A$3:$H$12,8),IF(MONTH(TODAY())=9,VLOOKUP(RIGHT(A17,1),'Tabla Vencimiento'!$A$3:$I$12,9),IF(MONTH(TODAY())=10,VLOOKUP(RIGHT(A17,1),'Tabla Vencimiento'!$A$3:$J$12,10),IF(MONTH(TODAY())=11,VLOOKUP(RIGHT(A17,1),'Tabla Vencimiento'!$A$3:$K$12,11),IF(MONTH(TODAY())=12,VLOOKUP(RIGHT(A17,1),'Tabla Vencimiento'!$A$3:$L$12,12),0)))))))))))),0)</f>
        <v>0</v>
      </c>
      <c r="G17" s="56">
        <f ca="1">IFERROR(+IF(C17="No Responsable", 0,+IF(D17="Tributación Simple", 0,+IF(AND(C17="Bimestral",MONTH(TODAY())-1&lt;=2),VLOOKUP(RIGHT(A17,1),'Tabla Vencimiento'!$A$3:$C$12,3,0),IF(AND(C17="Bimestral",MONTH(TODAY())-1&lt;=4),VLOOKUP(RIGHT(A17,1),'Tabla Vencimiento'!$A$3:$E$12,5,0),IF(AND(C17="Bimestral",MONTH(TODAY())-1&lt;=6),VLOOKUP(RIGHT(A17,1),'Tabla Vencimiento'!$A$3:$G$12,7,0),IF(AND(C17="Bimestral",MONTH(TODAY())-1&lt;=8),VLOOKUP(RIGHT(A17,1),'Tabla Vencimiento'!$A$3:$I$12,9,0),IF(AND(C17="Bimestral",MONTH(TODAY())-1=10),VLOOKUP(RIGHT(A17,1),'Tabla Vencimiento'!$A$3:$K$12,11,0),IF(AND(C17="Bimestral",MONTH(TODAY())-1&lt;=12),VLOOKUP(RIGHT(A17,1),'Tabla Vencimiento'!$A$3:$M$12,13,0),IF(AND(C17="Cuatrimestral",MONTH(TODAY())-1&lt;=4),VLOOKUP(RIGHT(A17,1),'Tabla Vencimiento'!$A$3:$E$12,5,0),IF(AND(C17="Cuatrimestral",MONTH(TODAY())-1&lt;=8),VLOOKUP(RIGHT(A17,1),'Tabla Vencimiento'!$A$3:$I$12,9,0),IF(AND(C17="Cuatrimestral",MONTH(TODAY())-1&lt;=12),VLOOKUP(RIGHT(A17,1),'Tabla Vencimiento'!$A$3:$M$12,13,0),0))))))))))),0)</f>
        <v>0</v>
      </c>
      <c r="H17" s="57">
        <f ca="1">+IF(AND(D17="Tributación Simple",MONTH(TODAY())=2),VLOOKUP(RIGHT(A17,1),'Tabla Vencimiento'!$I$17:$J$26,2,0),0)</f>
        <v>0</v>
      </c>
      <c r="I17" s="56">
        <f ca="1">+IF(AND(D17="Tributación Simple",MONTH(TODAY())=2),VLOOKUP(RIGHT(A17,1),'Tabla Vencimiento'!$A$39:$G$48,2,0),+IF(AND(D17="Tributación Simple",MONTH(TODAY())=4),VLOOKUP(RIGHT(A17,1),'Tabla Vencimiento'!$A$39:$G$48,3,0),+IF(AND(D17="Tributación Simple",MONTH(TODAY())=6),VLOOKUP(RIGHT(A17,1),'Tabla Vencimiento'!$A$39:$G$48,4,0),+IF(AND(D17="Tributación Simple",MONTH(TODAY())=8),VLOOKUP(RIGHT(A17,1),'Tabla Vencimiento'!$A$39:$G$48,5,0),+IF(AND(D17="Tributación Simple",MONTH(TODAY())=10),VLOOKUP(RIGHT(A17,1),'Tabla Vencimiento'!$A$39:$G$48,6,0),+IF(AND(D17="Tributación Simple",MONTH(TODAY())=12),VLOOKUP(RIGHT(A17,1),'Tabla Vencimiento'!$A$39:$G$48,7,0),0))))))</f>
        <v>0</v>
      </c>
      <c r="J17" s="56">
        <f>+IF(AND(D17="Ordinario",E17="PN"),VLOOKUP(RIGHT(A17,2),'Tabla Vencimiento'!$I$40:$J$139,2,0),+IF(AND(D17="Ordinario",E17="PN"),VLOOKUP(RIGHT(A17,2),'Tabla Vencimiento'!$J$40:$J$139,2,0),+IF(AND(D17="Tributación Simple",E17="PN"),0,+IF(AND(D17="Tributación Simple",E17="PJ"),0,+IF(AND(RIGHT(A17,2)&gt;='Tabla Vencimiento'!$A$16,RIGHT(A17,2)&lt;='Tabla Vencimiento'!$B$16),'Tabla Vencimiento'!$C$16,IF(AND(RIGHT(A17,2)&gt;='Tabla Vencimiento'!$A$17,RIGHT(A17,2)&lt;='Tabla Vencimiento'!$B$17),'Tabla Vencimiento'!$C$17,IF(AND(RIGHT(A17,2)&gt;='Tabla Vencimiento'!$A$18,RIGHT(A17,2)&lt;='Tabla Vencimiento'!$B$18),'Tabla Vencimiento'!$C$18,IF(AND(RIGHT(A17,2)&gt;='Tabla Vencimiento'!$A$19,RIGHT(A17,2)&lt;='Tabla Vencimiento'!$B$19),'Tabla Vencimiento'!$C$19,IF(AND(RIGHT(A17,2)&gt;='Tabla Vencimiento'!$A$20,RIGHT(A17,2)&lt;='Tabla Vencimiento'!$B$20),'Tabla Vencimiento'!$C$20,IF(AND(RIGHT(A17,2)&gt;='Tabla Vencimiento'!$A$21,RIGHT(A17,2)&lt;='Tabla Vencimiento'!$B$21),'Tabla Vencimiento'!$C$21,IF(AND(RIGHT(A17,2)&gt;='Tabla Vencimiento'!$A$22,RIGHT(A17,2)&lt;='Tabla Vencimiento'!$B$22),'Tabla Vencimiento'!$C$22,IF(AND(RIGHT(A17,2)&gt;='Tabla Vencimiento'!$A$23,RIGHT(A17,2)&lt;='Tabla Vencimiento'!$B$23),'Tabla Vencimiento'!$C$23,IF(AND(RIGHT(A17,2)&gt;='Tabla Vencimiento'!$A$24,RIGHT(A17,2)&lt;='Tabla Vencimiento'!$B$24),'Tabla Vencimiento'!$C$24,IF(AND(RIGHT(A17,2)&gt;='Tabla Vencimiento'!$A$25,RIGHT(A17,2)&lt;='Tabla Vencimiento'!$B$25),'Tabla Vencimiento'!$C$25,IF(AND(RIGHT(A17,2)&gt;='Tabla Vencimiento'!$A$26,RIGHT(A17,2)&lt;='Tabla Vencimiento'!$B$26),'Tabla Vencimiento'!$C$26,IF(AND(RIGHT(A17,2)&gt;='Tabla Vencimiento'!$A$27,RIGHT(A17,2)&lt;='Tabla Vencimiento'!$B$27),'Tabla Vencimiento'!$C$27,IF(AND(RIGHT(A17,2)&gt;='Tabla Vencimiento'!$A$28,RIGHT(A17,2)&lt;='Tabla Vencimiento'!$B$28),'Tabla Vencimiento'!$C$28,IF(AND(RIGHT(A17,2)&gt;='Tabla Vencimiento'!$A$29,RIGHT(A17,2)&lt;='Tabla Vencimiento'!$B$29),'Tabla Vencimiento'!$C$29,IF(AND(RIGHT(A17,2)&gt;='Tabla Vencimiento'!$A$30,RIGHT(A17,2)&lt;='Tabla Vencimiento'!$B$30),'Tabla Vencimiento'!$C$30,IF(AND(RIGHT(A17,2)&gt;='Tabla Vencimiento'!$A$31,RIGHT(A17,2)&lt;='Tabla Vencimiento'!$B$31),'Tabla Vencimiento'!$C$31,IF(AND(RIGHT(A17,2)&gt;='Tabla Vencimiento'!$A$32,RIGHT(A17,2)&lt;='Tabla Vencimiento'!$B$32),'Tabla Vencimiento'!$C$32,IF(AND(RIGHT(A17,2)&gt;='Tabla Vencimiento'!$A$33,RIGHT(A17,2)&lt;='Tabla Vencimiento'!$B$33),'Tabla Vencimiento'!$C$33,IF(AND(RIGHT(A17,2)&gt;='Tabla Vencimiento'!$A$34,RIGHT(A17,2)&lt;='Tabla Vencimiento'!$B$34),'Tabla Vencimiento'!$C$34,IF(AND(RIGHT(A17,2)&gt;='Tabla Vencimiento'!$A$35),'Tabla Vencimiento'!$C$35,0))))))))))))))))))))))))</f>
        <v>0</v>
      </c>
      <c r="K17" s="56">
        <f>+IF((D17="Tributación Simple"),VLOOKUP(RIGHT(A17,1),'Tabla Vencimiento'!$F$17:$G$26,2,0),0)</f>
        <v>0</v>
      </c>
      <c r="L17" s="56">
        <f>+IF(AND(RIGHT(A17,2) &gt;='Tabla Vencimiento'!$A$16,RIGHT(A17,2) &lt;='Tabla Vencimiento'!$B$16),'Tabla Vencimiento'!$D$16,IF(AND(RIGHT(A17,2) &gt;='Tabla Vencimiento'!$A$17,RIGHT(A17,2) &lt;='Tabla Vencimiento'!$B$17),'Tabla Vencimiento'!$D$17,IF(AND(RIGHT(A17,2) &gt;='Tabla Vencimiento'!$A$18,RIGHT(A17,2) &lt;='Tabla Vencimiento'!$B$18),'Tabla Vencimiento'!$D$18,IF(AND(RIGHT(A17,2) &gt;='Tabla Vencimiento'!$A$19,RIGHT(A17,2) &lt;='Tabla Vencimiento'!$B$19),'Tabla Vencimiento'!$D$19,IF(AND(RIGHT(A17,2) &gt;='Tabla Vencimiento'!$A$20,RIGHT(A17,2) &lt;='Tabla Vencimiento'!$B$20),'Tabla Vencimiento'!$D$20,IF(AND(RIGHT(A17,2) &gt;='Tabla Vencimiento'!$A$21,RIGHT(A17,2) &lt;='Tabla Vencimiento'!$B$21),'Tabla Vencimiento'!$D$21,IF(AND(RIGHT(A17,2) &gt;='Tabla Vencimiento'!$A$22,RIGHT(A17,2) &lt;='Tabla Vencimiento'!$B$22),'Tabla Vencimiento'!$D$22,IF(AND(RIGHT(A17,2) &gt;='Tabla Vencimiento'!$A$23,RIGHT(A17,2) &lt;='Tabla Vencimiento'!$B$23),'Tabla Vencimiento'!$D$23,IF(AND(RIGHT(A17,2) &gt;='Tabla Vencimiento'!$A$24,RIGHT(A17,2) &lt;='Tabla Vencimiento'!$B$24),'Tabla Vencimiento'!$D$24,IF(AND(RIGHT(A17,2) &gt;='Tabla Vencimiento'!$A$25,RIGHT(A17,2) &lt;='Tabla Vencimiento'!$B$25),'Tabla Vencimiento'!$D$25,IF(AND(RIGHT(A17,2) &gt;='Tabla Vencimiento'!$A$26,RIGHT(A17,2) &lt;='Tabla Vencimiento'!$B$26),'Tabla Vencimiento'!$D$26,IF(AND(RIGHT(A17,2) &gt;='Tabla Vencimiento'!$A$27,RIGHT(A17,2) &lt;='Tabla Vencimiento'!$B$27),'Tabla Vencimiento'!$D$27,IF(AND(RIGHT(A17,2) &gt;='Tabla Vencimiento'!$A$28,RIGHT(A17,2) &lt;='Tabla Vencimiento'!$B$28),'Tabla Vencimiento'!$D$28,IF(AND(RIGHT(A17,2) &gt;='Tabla Vencimiento'!$A$29,RIGHT(A17,2) &lt;='Tabla Vencimiento'!$B$29),'Tabla Vencimiento'!$D$29,IF(AND(RIGHT(A17,2) &gt;='Tabla Vencimiento'!$A$30,RIGHT(A17,2) &lt;='Tabla Vencimiento'!$B$30),'Tabla Vencimiento'!$D$30,IF(AND(RIGHT(A17,2) &gt;='Tabla Vencimiento'!$A$31,RIGHT(A17,2) &lt;='Tabla Vencimiento'!$B$31),'Tabla Vencimiento'!$D$31,IF(AND(RIGHT(A17,2) &gt;='Tabla Vencimiento'!$A$32,RIGHT(A17,2) &lt;='Tabla Vencimiento'!$B$32),'Tabla Vencimiento'!$D$32,IF(AND(RIGHT(A17,2) &gt;='Tabla Vencimiento'!$A$33,RIGHT(A17,2) &lt;='Tabla Vencimiento'!$B$33),'Tabla Vencimiento'!$D$33,IF(AND(RIGHT(A17,2) &gt;='Tabla Vencimiento'!$A$34,RIGHT(A17,2) &lt;='Tabla Vencimiento'!$B$34),'Tabla Vencimiento'!$D$34,IF(AND(RIGHT(A17,2) &gt;='Tabla Vencimiento'!$A$35),'Tabla Vencimiento'!$D$35,0))))))))))))))))))))</f>
        <v>0</v>
      </c>
    </row>
    <row r="18" spans="1:12" x14ac:dyDescent="0.45">
      <c r="A18" s="52"/>
      <c r="B18" s="52"/>
      <c r="C18" s="52"/>
      <c r="D18" s="52"/>
      <c r="E18" s="52"/>
      <c r="F18" s="56" t="b">
        <f ca="1">IFERROR(+IF(MONTH(TODAY())=2,VLOOKUP(RIGHT(A18,1),'Tabla Vencimiento'!$A$3:$B$12,2,IF(MONTH(TODAY())=3,VLOOKUP(RIGHT(A18,1),'Tabla Vencimiento'!$A$3:$C$12,3),IF(MONTH(TODAY())=4,VLOOKUP(RIGHT(A18,1),'Tabla Vencimiento'!$A$3:$D$12,4),IF(MONTH(TODAY())=5,VLOOKUP(RIGHT(A18,1),'Tabla Vencimiento'!$A$3:$E$12,5,0),IF(MONTH(TODAY())=6,VLOOKUP(RIGHT(A18,1),'Tabla Vencimiento'!$A$3:$F$12,6),IF(MONTH(TODAY())=7,VLOOKUP(RIGHT(A18,1),'Tabla Vencimiento'!$A$3:$G$12,7),IF(MONTH(TODAY())=8,VLOOKUP(RIGHT(A18,1),'Tabla Vencimiento'!$A$3:$H$12,8),IF(MONTH(TODAY())=9,VLOOKUP(RIGHT(A18,1),'Tabla Vencimiento'!$A$3:$I$12,9),IF(MONTH(TODAY())=10,VLOOKUP(RIGHT(A18,1),'Tabla Vencimiento'!$A$3:$J$12,10),IF(MONTH(TODAY())=11,VLOOKUP(RIGHT(A18,1),'Tabla Vencimiento'!$A$3:$K$12,11),IF(MONTH(TODAY())=12,VLOOKUP(RIGHT(A18,1),'Tabla Vencimiento'!$A$3:$L$12,12),0)))))))))))),0)</f>
        <v>0</v>
      </c>
      <c r="G18" s="56">
        <f ca="1">IFERROR(+IF(C18="No Responsable", 0,+IF(D18="Tributación Simple", 0,+IF(AND(C18="Bimestral",MONTH(TODAY())-1&lt;=2),VLOOKUP(RIGHT(A18,1),'Tabla Vencimiento'!$A$3:$C$12,3,0),IF(AND(C18="Bimestral",MONTH(TODAY())-1&lt;=4),VLOOKUP(RIGHT(A18,1),'Tabla Vencimiento'!$A$3:$E$12,5,0),IF(AND(C18="Bimestral",MONTH(TODAY())-1&lt;=6),VLOOKUP(RIGHT(A18,1),'Tabla Vencimiento'!$A$3:$G$12,7,0),IF(AND(C18="Bimestral",MONTH(TODAY())-1&lt;=8),VLOOKUP(RIGHT(A18,1),'Tabla Vencimiento'!$A$3:$I$12,9,0),IF(AND(C18="Bimestral",MONTH(TODAY())-1=10),VLOOKUP(RIGHT(A18,1),'Tabla Vencimiento'!$A$3:$K$12,11,0),IF(AND(C18="Bimestral",MONTH(TODAY())-1&lt;=12),VLOOKUP(RIGHT(A18,1),'Tabla Vencimiento'!$A$3:$M$12,13,0),IF(AND(C18="Cuatrimestral",MONTH(TODAY())-1&lt;=4),VLOOKUP(RIGHT(A18,1),'Tabla Vencimiento'!$A$3:$E$12,5,0),IF(AND(C18="Cuatrimestral",MONTH(TODAY())-1&lt;=8),VLOOKUP(RIGHT(A18,1),'Tabla Vencimiento'!$A$3:$I$12,9,0),IF(AND(C18="Cuatrimestral",MONTH(TODAY())-1&lt;=12),VLOOKUP(RIGHT(A18,1),'Tabla Vencimiento'!$A$3:$M$12,13,0),0))))))))))),0)</f>
        <v>0</v>
      </c>
      <c r="H18" s="57">
        <f ca="1">+IF(AND(D18="Tributación Simple",MONTH(TODAY())=2),VLOOKUP(RIGHT(A18,1),'Tabla Vencimiento'!$I$17:$J$26,2,0),0)</f>
        <v>0</v>
      </c>
      <c r="I18" s="56">
        <f ca="1">+IF(AND(D18="Tributación Simple",MONTH(TODAY())=2),VLOOKUP(RIGHT(A18,1),'Tabla Vencimiento'!$A$39:$G$48,2,0),+IF(AND(D18="Tributación Simple",MONTH(TODAY())=4),VLOOKUP(RIGHT(A18,1),'Tabla Vencimiento'!$A$39:$G$48,3,0),+IF(AND(D18="Tributación Simple",MONTH(TODAY())=6),VLOOKUP(RIGHT(A18,1),'Tabla Vencimiento'!$A$39:$G$48,4,0),+IF(AND(D18="Tributación Simple",MONTH(TODAY())=8),VLOOKUP(RIGHT(A18,1),'Tabla Vencimiento'!$A$39:$G$48,5,0),+IF(AND(D18="Tributación Simple",MONTH(TODAY())=10),VLOOKUP(RIGHT(A18,1),'Tabla Vencimiento'!$A$39:$G$48,6,0),+IF(AND(D18="Tributación Simple",MONTH(TODAY())=12),VLOOKUP(RIGHT(A18,1),'Tabla Vencimiento'!$A$39:$G$48,7,0),0))))))</f>
        <v>0</v>
      </c>
      <c r="J18" s="56">
        <f>+IF(AND(D18="Ordinario",E18="PN"),VLOOKUP(RIGHT(A18,2),'Tabla Vencimiento'!$I$40:$J$139,2,0),+IF(AND(D18="Ordinario",E18="PN"),VLOOKUP(RIGHT(A18,2),'Tabla Vencimiento'!$J$40:$J$139,2,0),+IF(AND(D18="Tributación Simple",E18="PN"),0,+IF(AND(D18="Tributación Simple",E18="PJ"),0,+IF(AND(RIGHT(A18,2)&gt;='Tabla Vencimiento'!$A$16,RIGHT(A18,2)&lt;='Tabla Vencimiento'!$B$16),'Tabla Vencimiento'!$C$16,IF(AND(RIGHT(A18,2)&gt;='Tabla Vencimiento'!$A$17,RIGHT(A18,2)&lt;='Tabla Vencimiento'!$B$17),'Tabla Vencimiento'!$C$17,IF(AND(RIGHT(A18,2)&gt;='Tabla Vencimiento'!$A$18,RIGHT(A18,2)&lt;='Tabla Vencimiento'!$B$18),'Tabla Vencimiento'!$C$18,IF(AND(RIGHT(A18,2)&gt;='Tabla Vencimiento'!$A$19,RIGHT(A18,2)&lt;='Tabla Vencimiento'!$B$19),'Tabla Vencimiento'!$C$19,IF(AND(RIGHT(A18,2)&gt;='Tabla Vencimiento'!$A$20,RIGHT(A18,2)&lt;='Tabla Vencimiento'!$B$20),'Tabla Vencimiento'!$C$20,IF(AND(RIGHT(A18,2)&gt;='Tabla Vencimiento'!$A$21,RIGHT(A18,2)&lt;='Tabla Vencimiento'!$B$21),'Tabla Vencimiento'!$C$21,IF(AND(RIGHT(A18,2)&gt;='Tabla Vencimiento'!$A$22,RIGHT(A18,2)&lt;='Tabla Vencimiento'!$B$22),'Tabla Vencimiento'!$C$22,IF(AND(RIGHT(A18,2)&gt;='Tabla Vencimiento'!$A$23,RIGHT(A18,2)&lt;='Tabla Vencimiento'!$B$23),'Tabla Vencimiento'!$C$23,IF(AND(RIGHT(A18,2)&gt;='Tabla Vencimiento'!$A$24,RIGHT(A18,2)&lt;='Tabla Vencimiento'!$B$24),'Tabla Vencimiento'!$C$24,IF(AND(RIGHT(A18,2)&gt;='Tabla Vencimiento'!$A$25,RIGHT(A18,2)&lt;='Tabla Vencimiento'!$B$25),'Tabla Vencimiento'!$C$25,IF(AND(RIGHT(A18,2)&gt;='Tabla Vencimiento'!$A$26,RIGHT(A18,2)&lt;='Tabla Vencimiento'!$B$26),'Tabla Vencimiento'!$C$26,IF(AND(RIGHT(A18,2)&gt;='Tabla Vencimiento'!$A$27,RIGHT(A18,2)&lt;='Tabla Vencimiento'!$B$27),'Tabla Vencimiento'!$C$27,IF(AND(RIGHT(A18,2)&gt;='Tabla Vencimiento'!$A$28,RIGHT(A18,2)&lt;='Tabla Vencimiento'!$B$28),'Tabla Vencimiento'!$C$28,IF(AND(RIGHT(A18,2)&gt;='Tabla Vencimiento'!$A$29,RIGHT(A18,2)&lt;='Tabla Vencimiento'!$B$29),'Tabla Vencimiento'!$C$29,IF(AND(RIGHT(A18,2)&gt;='Tabla Vencimiento'!$A$30,RIGHT(A18,2)&lt;='Tabla Vencimiento'!$B$30),'Tabla Vencimiento'!$C$30,IF(AND(RIGHT(A18,2)&gt;='Tabla Vencimiento'!$A$31,RIGHT(A18,2)&lt;='Tabla Vencimiento'!$B$31),'Tabla Vencimiento'!$C$31,IF(AND(RIGHT(A18,2)&gt;='Tabla Vencimiento'!$A$32,RIGHT(A18,2)&lt;='Tabla Vencimiento'!$B$32),'Tabla Vencimiento'!$C$32,IF(AND(RIGHT(A18,2)&gt;='Tabla Vencimiento'!$A$33,RIGHT(A18,2)&lt;='Tabla Vencimiento'!$B$33),'Tabla Vencimiento'!$C$33,IF(AND(RIGHT(A18,2)&gt;='Tabla Vencimiento'!$A$34,RIGHT(A18,2)&lt;='Tabla Vencimiento'!$B$34),'Tabla Vencimiento'!$C$34,IF(AND(RIGHT(A18,2)&gt;='Tabla Vencimiento'!$A$35),'Tabla Vencimiento'!$C$35,0))))))))))))))))))))))))</f>
        <v>0</v>
      </c>
      <c r="K18" s="56">
        <f>+IF((D18="Tributación Simple"),VLOOKUP(RIGHT(A18,1),'Tabla Vencimiento'!$F$17:$G$26,2,0),0)</f>
        <v>0</v>
      </c>
      <c r="L18" s="56">
        <f>+IF(AND(RIGHT(A18,2) &gt;='Tabla Vencimiento'!$A$16,RIGHT(A18,2) &lt;='Tabla Vencimiento'!$B$16),'Tabla Vencimiento'!$D$16,IF(AND(RIGHT(A18,2) &gt;='Tabla Vencimiento'!$A$17,RIGHT(A18,2) &lt;='Tabla Vencimiento'!$B$17),'Tabla Vencimiento'!$D$17,IF(AND(RIGHT(A18,2) &gt;='Tabla Vencimiento'!$A$18,RIGHT(A18,2) &lt;='Tabla Vencimiento'!$B$18),'Tabla Vencimiento'!$D$18,IF(AND(RIGHT(A18,2) &gt;='Tabla Vencimiento'!$A$19,RIGHT(A18,2) &lt;='Tabla Vencimiento'!$B$19),'Tabla Vencimiento'!$D$19,IF(AND(RIGHT(A18,2) &gt;='Tabla Vencimiento'!$A$20,RIGHT(A18,2) &lt;='Tabla Vencimiento'!$B$20),'Tabla Vencimiento'!$D$20,IF(AND(RIGHT(A18,2) &gt;='Tabla Vencimiento'!$A$21,RIGHT(A18,2) &lt;='Tabla Vencimiento'!$B$21),'Tabla Vencimiento'!$D$21,IF(AND(RIGHT(A18,2) &gt;='Tabla Vencimiento'!$A$22,RIGHT(A18,2) &lt;='Tabla Vencimiento'!$B$22),'Tabla Vencimiento'!$D$22,IF(AND(RIGHT(A18,2) &gt;='Tabla Vencimiento'!$A$23,RIGHT(A18,2) &lt;='Tabla Vencimiento'!$B$23),'Tabla Vencimiento'!$D$23,IF(AND(RIGHT(A18,2) &gt;='Tabla Vencimiento'!$A$24,RIGHT(A18,2) &lt;='Tabla Vencimiento'!$B$24),'Tabla Vencimiento'!$D$24,IF(AND(RIGHT(A18,2) &gt;='Tabla Vencimiento'!$A$25,RIGHT(A18,2) &lt;='Tabla Vencimiento'!$B$25),'Tabla Vencimiento'!$D$25,IF(AND(RIGHT(A18,2) &gt;='Tabla Vencimiento'!$A$26,RIGHT(A18,2) &lt;='Tabla Vencimiento'!$B$26),'Tabla Vencimiento'!$D$26,IF(AND(RIGHT(A18,2) &gt;='Tabla Vencimiento'!$A$27,RIGHT(A18,2) &lt;='Tabla Vencimiento'!$B$27),'Tabla Vencimiento'!$D$27,IF(AND(RIGHT(A18,2) &gt;='Tabla Vencimiento'!$A$28,RIGHT(A18,2) &lt;='Tabla Vencimiento'!$B$28),'Tabla Vencimiento'!$D$28,IF(AND(RIGHT(A18,2) &gt;='Tabla Vencimiento'!$A$29,RIGHT(A18,2) &lt;='Tabla Vencimiento'!$B$29),'Tabla Vencimiento'!$D$29,IF(AND(RIGHT(A18,2) &gt;='Tabla Vencimiento'!$A$30,RIGHT(A18,2) &lt;='Tabla Vencimiento'!$B$30),'Tabla Vencimiento'!$D$30,IF(AND(RIGHT(A18,2) &gt;='Tabla Vencimiento'!$A$31,RIGHT(A18,2) &lt;='Tabla Vencimiento'!$B$31),'Tabla Vencimiento'!$D$31,IF(AND(RIGHT(A18,2) &gt;='Tabla Vencimiento'!$A$32,RIGHT(A18,2) &lt;='Tabla Vencimiento'!$B$32),'Tabla Vencimiento'!$D$32,IF(AND(RIGHT(A18,2) &gt;='Tabla Vencimiento'!$A$33,RIGHT(A18,2) &lt;='Tabla Vencimiento'!$B$33),'Tabla Vencimiento'!$D$33,IF(AND(RIGHT(A18,2) &gt;='Tabla Vencimiento'!$A$34,RIGHT(A18,2) &lt;='Tabla Vencimiento'!$B$34),'Tabla Vencimiento'!$D$34,IF(AND(RIGHT(A18,2) &gt;='Tabla Vencimiento'!$A$35),'Tabla Vencimiento'!$D$35,0))))))))))))))))))))</f>
        <v>0</v>
      </c>
    </row>
    <row r="19" spans="1:12" x14ac:dyDescent="0.45">
      <c r="A19" s="52"/>
      <c r="B19" s="52"/>
      <c r="C19" s="52"/>
      <c r="D19" s="52"/>
      <c r="E19" s="52"/>
      <c r="F19" s="56" t="b">
        <f ca="1">IFERROR(+IF(MONTH(TODAY())=2,VLOOKUP(RIGHT(A19,1),'Tabla Vencimiento'!$A$3:$B$12,2,IF(MONTH(TODAY())=3,VLOOKUP(RIGHT(A19,1),'Tabla Vencimiento'!$A$3:$C$12,3),IF(MONTH(TODAY())=4,VLOOKUP(RIGHT(A19,1),'Tabla Vencimiento'!$A$3:$D$12,4),IF(MONTH(TODAY())=5,VLOOKUP(RIGHT(A19,1),'Tabla Vencimiento'!$A$3:$E$12,5,0),IF(MONTH(TODAY())=6,VLOOKUP(RIGHT(A19,1),'Tabla Vencimiento'!$A$3:$F$12,6),IF(MONTH(TODAY())=7,VLOOKUP(RIGHT(A19,1),'Tabla Vencimiento'!$A$3:$G$12,7),IF(MONTH(TODAY())=8,VLOOKUP(RIGHT(A19,1),'Tabla Vencimiento'!$A$3:$H$12,8),IF(MONTH(TODAY())=9,VLOOKUP(RIGHT(A19,1),'Tabla Vencimiento'!$A$3:$I$12,9),IF(MONTH(TODAY())=10,VLOOKUP(RIGHT(A19,1),'Tabla Vencimiento'!$A$3:$J$12,10),IF(MONTH(TODAY())=11,VLOOKUP(RIGHT(A19,1),'Tabla Vencimiento'!$A$3:$K$12,11),IF(MONTH(TODAY())=12,VLOOKUP(RIGHT(A19,1),'Tabla Vencimiento'!$A$3:$L$12,12),0)))))))))))),0)</f>
        <v>0</v>
      </c>
      <c r="G19" s="56">
        <f ca="1">IFERROR(+IF(C19="No Responsable", 0,+IF(D19="Tributación Simple", 0,+IF(AND(C19="Bimestral",MONTH(TODAY())-1&lt;=2),VLOOKUP(RIGHT(A19,1),'Tabla Vencimiento'!$A$3:$C$12,3,0),IF(AND(C19="Bimestral",MONTH(TODAY())-1&lt;=4),VLOOKUP(RIGHT(A19,1),'Tabla Vencimiento'!$A$3:$E$12,5,0),IF(AND(C19="Bimestral",MONTH(TODAY())-1&lt;=6),VLOOKUP(RIGHT(A19,1),'Tabla Vencimiento'!$A$3:$G$12,7,0),IF(AND(C19="Bimestral",MONTH(TODAY())-1&lt;=8),VLOOKUP(RIGHT(A19,1),'Tabla Vencimiento'!$A$3:$I$12,9,0),IF(AND(C19="Bimestral",MONTH(TODAY())-1=10),VLOOKUP(RIGHT(A19,1),'Tabla Vencimiento'!$A$3:$K$12,11,0),IF(AND(C19="Bimestral",MONTH(TODAY())-1&lt;=12),VLOOKUP(RIGHT(A19,1),'Tabla Vencimiento'!$A$3:$M$12,13,0),IF(AND(C19="Cuatrimestral",MONTH(TODAY())-1&lt;=4),VLOOKUP(RIGHT(A19,1),'Tabla Vencimiento'!$A$3:$E$12,5,0),IF(AND(C19="Cuatrimestral",MONTH(TODAY())-1&lt;=8),VLOOKUP(RIGHT(A19,1),'Tabla Vencimiento'!$A$3:$I$12,9,0),IF(AND(C19="Cuatrimestral",MONTH(TODAY())-1&lt;=12),VLOOKUP(RIGHT(A19,1),'Tabla Vencimiento'!$A$3:$M$12,13,0),0))))))))))),0)</f>
        <v>0</v>
      </c>
      <c r="H19" s="57">
        <f ca="1">+IF(AND(D19="Tributación Simple",MONTH(TODAY())=2),VLOOKUP(RIGHT(A19,1),'Tabla Vencimiento'!$I$17:$J$26,2,0),0)</f>
        <v>0</v>
      </c>
      <c r="I19" s="56">
        <f ca="1">+IF(AND(D19="Tributación Simple",MONTH(TODAY())=2),VLOOKUP(RIGHT(A19,1),'Tabla Vencimiento'!$A$39:$G$48,2,0),+IF(AND(D19="Tributación Simple",MONTH(TODAY())=4),VLOOKUP(RIGHT(A19,1),'Tabla Vencimiento'!$A$39:$G$48,3,0),+IF(AND(D19="Tributación Simple",MONTH(TODAY())=6),VLOOKUP(RIGHT(A19,1),'Tabla Vencimiento'!$A$39:$G$48,4,0),+IF(AND(D19="Tributación Simple",MONTH(TODAY())=8),VLOOKUP(RIGHT(A19,1),'Tabla Vencimiento'!$A$39:$G$48,5,0),+IF(AND(D19="Tributación Simple",MONTH(TODAY())=10),VLOOKUP(RIGHT(A19,1),'Tabla Vencimiento'!$A$39:$G$48,6,0),+IF(AND(D19="Tributación Simple",MONTH(TODAY())=12),VLOOKUP(RIGHT(A19,1),'Tabla Vencimiento'!$A$39:$G$48,7,0),0))))))</f>
        <v>0</v>
      </c>
      <c r="J19" s="56">
        <f>+IF(AND(D19="Ordinario",E19="PN"),VLOOKUP(RIGHT(A19,2),'Tabla Vencimiento'!$I$40:$J$139,2,0),+IF(AND(D19="Ordinario",E19="PN"),VLOOKUP(RIGHT(A19,2),'Tabla Vencimiento'!$J$40:$J$139,2,0),+IF(AND(D19="Tributación Simple",E19="PN"),0,+IF(AND(D19="Tributación Simple",E19="PJ"),0,+IF(AND(RIGHT(A19,2)&gt;='Tabla Vencimiento'!$A$16,RIGHT(A19,2)&lt;='Tabla Vencimiento'!$B$16),'Tabla Vencimiento'!$C$16,IF(AND(RIGHT(A19,2)&gt;='Tabla Vencimiento'!$A$17,RIGHT(A19,2)&lt;='Tabla Vencimiento'!$B$17),'Tabla Vencimiento'!$C$17,IF(AND(RIGHT(A19,2)&gt;='Tabla Vencimiento'!$A$18,RIGHT(A19,2)&lt;='Tabla Vencimiento'!$B$18),'Tabla Vencimiento'!$C$18,IF(AND(RIGHT(A19,2)&gt;='Tabla Vencimiento'!$A$19,RIGHT(A19,2)&lt;='Tabla Vencimiento'!$B$19),'Tabla Vencimiento'!$C$19,IF(AND(RIGHT(A19,2)&gt;='Tabla Vencimiento'!$A$20,RIGHT(A19,2)&lt;='Tabla Vencimiento'!$B$20),'Tabla Vencimiento'!$C$20,IF(AND(RIGHT(A19,2)&gt;='Tabla Vencimiento'!$A$21,RIGHT(A19,2)&lt;='Tabla Vencimiento'!$B$21),'Tabla Vencimiento'!$C$21,IF(AND(RIGHT(A19,2)&gt;='Tabla Vencimiento'!$A$22,RIGHT(A19,2)&lt;='Tabla Vencimiento'!$B$22),'Tabla Vencimiento'!$C$22,IF(AND(RIGHT(A19,2)&gt;='Tabla Vencimiento'!$A$23,RIGHT(A19,2)&lt;='Tabla Vencimiento'!$B$23),'Tabla Vencimiento'!$C$23,IF(AND(RIGHT(A19,2)&gt;='Tabla Vencimiento'!$A$24,RIGHT(A19,2)&lt;='Tabla Vencimiento'!$B$24),'Tabla Vencimiento'!$C$24,IF(AND(RIGHT(A19,2)&gt;='Tabla Vencimiento'!$A$25,RIGHT(A19,2)&lt;='Tabla Vencimiento'!$B$25),'Tabla Vencimiento'!$C$25,IF(AND(RIGHT(A19,2)&gt;='Tabla Vencimiento'!$A$26,RIGHT(A19,2)&lt;='Tabla Vencimiento'!$B$26),'Tabla Vencimiento'!$C$26,IF(AND(RIGHT(A19,2)&gt;='Tabla Vencimiento'!$A$27,RIGHT(A19,2)&lt;='Tabla Vencimiento'!$B$27),'Tabla Vencimiento'!$C$27,IF(AND(RIGHT(A19,2)&gt;='Tabla Vencimiento'!$A$28,RIGHT(A19,2)&lt;='Tabla Vencimiento'!$B$28),'Tabla Vencimiento'!$C$28,IF(AND(RIGHT(A19,2)&gt;='Tabla Vencimiento'!$A$29,RIGHT(A19,2)&lt;='Tabla Vencimiento'!$B$29),'Tabla Vencimiento'!$C$29,IF(AND(RIGHT(A19,2)&gt;='Tabla Vencimiento'!$A$30,RIGHT(A19,2)&lt;='Tabla Vencimiento'!$B$30),'Tabla Vencimiento'!$C$30,IF(AND(RIGHT(A19,2)&gt;='Tabla Vencimiento'!$A$31,RIGHT(A19,2)&lt;='Tabla Vencimiento'!$B$31),'Tabla Vencimiento'!$C$31,IF(AND(RIGHT(A19,2)&gt;='Tabla Vencimiento'!$A$32,RIGHT(A19,2)&lt;='Tabla Vencimiento'!$B$32),'Tabla Vencimiento'!$C$32,IF(AND(RIGHT(A19,2)&gt;='Tabla Vencimiento'!$A$33,RIGHT(A19,2)&lt;='Tabla Vencimiento'!$B$33),'Tabla Vencimiento'!$C$33,IF(AND(RIGHT(A19,2)&gt;='Tabla Vencimiento'!$A$34,RIGHT(A19,2)&lt;='Tabla Vencimiento'!$B$34),'Tabla Vencimiento'!$C$34,IF(AND(RIGHT(A19,2)&gt;='Tabla Vencimiento'!$A$35),'Tabla Vencimiento'!$C$35,0))))))))))))))))))))))))</f>
        <v>0</v>
      </c>
      <c r="K19" s="56">
        <f>+IF((D19="Tributación Simple"),VLOOKUP(RIGHT(A19,1),'Tabla Vencimiento'!$F$17:$G$26,2,0),0)</f>
        <v>0</v>
      </c>
      <c r="L19" s="56">
        <f>+IF(AND(RIGHT(A19,2) &gt;='Tabla Vencimiento'!$A$16,RIGHT(A19,2) &lt;='Tabla Vencimiento'!$B$16),'Tabla Vencimiento'!$D$16,IF(AND(RIGHT(A19,2) &gt;='Tabla Vencimiento'!$A$17,RIGHT(A19,2) &lt;='Tabla Vencimiento'!$B$17),'Tabla Vencimiento'!$D$17,IF(AND(RIGHT(A19,2) &gt;='Tabla Vencimiento'!$A$18,RIGHT(A19,2) &lt;='Tabla Vencimiento'!$B$18),'Tabla Vencimiento'!$D$18,IF(AND(RIGHT(A19,2) &gt;='Tabla Vencimiento'!$A$19,RIGHT(A19,2) &lt;='Tabla Vencimiento'!$B$19),'Tabla Vencimiento'!$D$19,IF(AND(RIGHT(A19,2) &gt;='Tabla Vencimiento'!$A$20,RIGHT(A19,2) &lt;='Tabla Vencimiento'!$B$20),'Tabla Vencimiento'!$D$20,IF(AND(RIGHT(A19,2) &gt;='Tabla Vencimiento'!$A$21,RIGHT(A19,2) &lt;='Tabla Vencimiento'!$B$21),'Tabla Vencimiento'!$D$21,IF(AND(RIGHT(A19,2) &gt;='Tabla Vencimiento'!$A$22,RIGHT(A19,2) &lt;='Tabla Vencimiento'!$B$22),'Tabla Vencimiento'!$D$22,IF(AND(RIGHT(A19,2) &gt;='Tabla Vencimiento'!$A$23,RIGHT(A19,2) &lt;='Tabla Vencimiento'!$B$23),'Tabla Vencimiento'!$D$23,IF(AND(RIGHT(A19,2) &gt;='Tabla Vencimiento'!$A$24,RIGHT(A19,2) &lt;='Tabla Vencimiento'!$B$24),'Tabla Vencimiento'!$D$24,IF(AND(RIGHT(A19,2) &gt;='Tabla Vencimiento'!$A$25,RIGHT(A19,2) &lt;='Tabla Vencimiento'!$B$25),'Tabla Vencimiento'!$D$25,IF(AND(RIGHT(A19,2) &gt;='Tabla Vencimiento'!$A$26,RIGHT(A19,2) &lt;='Tabla Vencimiento'!$B$26),'Tabla Vencimiento'!$D$26,IF(AND(RIGHT(A19,2) &gt;='Tabla Vencimiento'!$A$27,RIGHT(A19,2) &lt;='Tabla Vencimiento'!$B$27),'Tabla Vencimiento'!$D$27,IF(AND(RIGHT(A19,2) &gt;='Tabla Vencimiento'!$A$28,RIGHT(A19,2) &lt;='Tabla Vencimiento'!$B$28),'Tabla Vencimiento'!$D$28,IF(AND(RIGHT(A19,2) &gt;='Tabla Vencimiento'!$A$29,RIGHT(A19,2) &lt;='Tabla Vencimiento'!$B$29),'Tabla Vencimiento'!$D$29,IF(AND(RIGHT(A19,2) &gt;='Tabla Vencimiento'!$A$30,RIGHT(A19,2) &lt;='Tabla Vencimiento'!$B$30),'Tabla Vencimiento'!$D$30,IF(AND(RIGHT(A19,2) &gt;='Tabla Vencimiento'!$A$31,RIGHT(A19,2) &lt;='Tabla Vencimiento'!$B$31),'Tabla Vencimiento'!$D$31,IF(AND(RIGHT(A19,2) &gt;='Tabla Vencimiento'!$A$32,RIGHT(A19,2) &lt;='Tabla Vencimiento'!$B$32),'Tabla Vencimiento'!$D$32,IF(AND(RIGHT(A19,2) &gt;='Tabla Vencimiento'!$A$33,RIGHT(A19,2) &lt;='Tabla Vencimiento'!$B$33),'Tabla Vencimiento'!$D$33,IF(AND(RIGHT(A19,2) &gt;='Tabla Vencimiento'!$A$34,RIGHT(A19,2) &lt;='Tabla Vencimiento'!$B$34),'Tabla Vencimiento'!$D$34,IF(AND(RIGHT(A19,2) &gt;='Tabla Vencimiento'!$A$35),'Tabla Vencimiento'!$D$35,0))))))))))))))))))))</f>
        <v>0</v>
      </c>
    </row>
    <row r="20" spans="1:12" x14ac:dyDescent="0.45">
      <c r="A20" s="52"/>
      <c r="B20" s="52"/>
      <c r="C20" s="52"/>
      <c r="D20" s="52"/>
      <c r="E20" s="52"/>
      <c r="F20" s="56" t="b">
        <f ca="1">IFERROR(+IF(MONTH(TODAY())=2,VLOOKUP(RIGHT(A20,1),'Tabla Vencimiento'!$A$3:$B$12,2,IF(MONTH(TODAY())=3,VLOOKUP(RIGHT(A20,1),'Tabla Vencimiento'!$A$3:$C$12,3),IF(MONTH(TODAY())=4,VLOOKUP(RIGHT(A20,1),'Tabla Vencimiento'!$A$3:$D$12,4),IF(MONTH(TODAY())=5,VLOOKUP(RIGHT(A20,1),'Tabla Vencimiento'!$A$3:$E$12,5,0),IF(MONTH(TODAY())=6,VLOOKUP(RIGHT(A20,1),'Tabla Vencimiento'!$A$3:$F$12,6),IF(MONTH(TODAY())=7,VLOOKUP(RIGHT(A20,1),'Tabla Vencimiento'!$A$3:$G$12,7),IF(MONTH(TODAY())=8,VLOOKUP(RIGHT(A20,1),'Tabla Vencimiento'!$A$3:$H$12,8),IF(MONTH(TODAY())=9,VLOOKUP(RIGHT(A20,1),'Tabla Vencimiento'!$A$3:$I$12,9),IF(MONTH(TODAY())=10,VLOOKUP(RIGHT(A20,1),'Tabla Vencimiento'!$A$3:$J$12,10),IF(MONTH(TODAY())=11,VLOOKUP(RIGHT(A20,1),'Tabla Vencimiento'!$A$3:$K$12,11),IF(MONTH(TODAY())=12,VLOOKUP(RIGHT(A20,1),'Tabla Vencimiento'!$A$3:$L$12,12),0)))))))))))),0)</f>
        <v>0</v>
      </c>
      <c r="G20" s="56">
        <f ca="1">IFERROR(+IF(C20="No Responsable", 0,+IF(D20="Tributación Simple", 0,+IF(AND(C20="Bimestral",MONTH(TODAY())-1&lt;=2),VLOOKUP(RIGHT(A20,1),'Tabla Vencimiento'!$A$3:$C$12,3,0),IF(AND(C20="Bimestral",MONTH(TODAY())-1&lt;=4),VLOOKUP(RIGHT(A20,1),'Tabla Vencimiento'!$A$3:$E$12,5,0),IF(AND(C20="Bimestral",MONTH(TODAY())-1&lt;=6),VLOOKUP(RIGHT(A20,1),'Tabla Vencimiento'!$A$3:$G$12,7,0),IF(AND(C20="Bimestral",MONTH(TODAY())-1&lt;=8),VLOOKUP(RIGHT(A20,1),'Tabla Vencimiento'!$A$3:$I$12,9,0),IF(AND(C20="Bimestral",MONTH(TODAY())-1=10),VLOOKUP(RIGHT(A20,1),'Tabla Vencimiento'!$A$3:$K$12,11,0),IF(AND(C20="Bimestral",MONTH(TODAY())-1&lt;=12),VLOOKUP(RIGHT(A20,1),'Tabla Vencimiento'!$A$3:$M$12,13,0),IF(AND(C20="Cuatrimestral",MONTH(TODAY())-1&lt;=4),VLOOKUP(RIGHT(A20,1),'Tabla Vencimiento'!$A$3:$E$12,5,0),IF(AND(C20="Cuatrimestral",MONTH(TODAY())-1&lt;=8),VLOOKUP(RIGHT(A20,1),'Tabla Vencimiento'!$A$3:$I$12,9,0),IF(AND(C20="Cuatrimestral",MONTH(TODAY())-1&lt;=12),VLOOKUP(RIGHT(A20,1),'Tabla Vencimiento'!$A$3:$M$12,13,0),0))))))))))),0)</f>
        <v>0</v>
      </c>
      <c r="H20" s="57">
        <f ca="1">+IF(AND(D20="Tributación Simple",MONTH(TODAY())=2),VLOOKUP(RIGHT(A20,1),'Tabla Vencimiento'!$I$17:$J$26,2,0),0)</f>
        <v>0</v>
      </c>
      <c r="I20" s="56">
        <f ca="1">+IF(AND(D20="Tributación Simple",MONTH(TODAY())=2),VLOOKUP(RIGHT(A20,1),'Tabla Vencimiento'!$A$39:$G$48,2,0),+IF(AND(D20="Tributación Simple",MONTH(TODAY())=4),VLOOKUP(RIGHT(A20,1),'Tabla Vencimiento'!$A$39:$G$48,3,0),+IF(AND(D20="Tributación Simple",MONTH(TODAY())=6),VLOOKUP(RIGHT(A20,1),'Tabla Vencimiento'!$A$39:$G$48,4,0),+IF(AND(D20="Tributación Simple",MONTH(TODAY())=8),VLOOKUP(RIGHT(A20,1),'Tabla Vencimiento'!$A$39:$G$48,5,0),+IF(AND(D20="Tributación Simple",MONTH(TODAY())=10),VLOOKUP(RIGHT(A20,1),'Tabla Vencimiento'!$A$39:$G$48,6,0),+IF(AND(D20="Tributación Simple",MONTH(TODAY())=12),VLOOKUP(RIGHT(A20,1),'Tabla Vencimiento'!$A$39:$G$48,7,0),0))))))</f>
        <v>0</v>
      </c>
      <c r="J20" s="56">
        <f>+IF(AND(D20="Ordinario",E20="PN"),VLOOKUP(RIGHT(A20,2),'Tabla Vencimiento'!$I$40:$J$139,2,0),+IF(AND(D20="Ordinario",E20="PN"),VLOOKUP(RIGHT(A20,2),'Tabla Vencimiento'!$J$40:$J$139,2,0),+IF(AND(D20="Tributación Simple",E20="PN"),0,+IF(AND(D20="Tributación Simple",E20="PJ"),0,+IF(AND(RIGHT(A20,2)&gt;='Tabla Vencimiento'!$A$16,RIGHT(A20,2)&lt;='Tabla Vencimiento'!$B$16),'Tabla Vencimiento'!$C$16,IF(AND(RIGHT(A20,2)&gt;='Tabla Vencimiento'!$A$17,RIGHT(A20,2)&lt;='Tabla Vencimiento'!$B$17),'Tabla Vencimiento'!$C$17,IF(AND(RIGHT(A20,2)&gt;='Tabla Vencimiento'!$A$18,RIGHT(A20,2)&lt;='Tabla Vencimiento'!$B$18),'Tabla Vencimiento'!$C$18,IF(AND(RIGHT(A20,2)&gt;='Tabla Vencimiento'!$A$19,RIGHT(A20,2)&lt;='Tabla Vencimiento'!$B$19),'Tabla Vencimiento'!$C$19,IF(AND(RIGHT(A20,2)&gt;='Tabla Vencimiento'!$A$20,RIGHT(A20,2)&lt;='Tabla Vencimiento'!$B$20),'Tabla Vencimiento'!$C$20,IF(AND(RIGHT(A20,2)&gt;='Tabla Vencimiento'!$A$21,RIGHT(A20,2)&lt;='Tabla Vencimiento'!$B$21),'Tabla Vencimiento'!$C$21,IF(AND(RIGHT(A20,2)&gt;='Tabla Vencimiento'!$A$22,RIGHT(A20,2)&lt;='Tabla Vencimiento'!$B$22),'Tabla Vencimiento'!$C$22,IF(AND(RIGHT(A20,2)&gt;='Tabla Vencimiento'!$A$23,RIGHT(A20,2)&lt;='Tabla Vencimiento'!$B$23),'Tabla Vencimiento'!$C$23,IF(AND(RIGHT(A20,2)&gt;='Tabla Vencimiento'!$A$24,RIGHT(A20,2)&lt;='Tabla Vencimiento'!$B$24),'Tabla Vencimiento'!$C$24,IF(AND(RIGHT(A20,2)&gt;='Tabla Vencimiento'!$A$25,RIGHT(A20,2)&lt;='Tabla Vencimiento'!$B$25),'Tabla Vencimiento'!$C$25,IF(AND(RIGHT(A20,2)&gt;='Tabla Vencimiento'!$A$26,RIGHT(A20,2)&lt;='Tabla Vencimiento'!$B$26),'Tabla Vencimiento'!$C$26,IF(AND(RIGHT(A20,2)&gt;='Tabla Vencimiento'!$A$27,RIGHT(A20,2)&lt;='Tabla Vencimiento'!$B$27),'Tabla Vencimiento'!$C$27,IF(AND(RIGHT(A20,2)&gt;='Tabla Vencimiento'!$A$28,RIGHT(A20,2)&lt;='Tabla Vencimiento'!$B$28),'Tabla Vencimiento'!$C$28,IF(AND(RIGHT(A20,2)&gt;='Tabla Vencimiento'!$A$29,RIGHT(A20,2)&lt;='Tabla Vencimiento'!$B$29),'Tabla Vencimiento'!$C$29,IF(AND(RIGHT(A20,2)&gt;='Tabla Vencimiento'!$A$30,RIGHT(A20,2)&lt;='Tabla Vencimiento'!$B$30),'Tabla Vencimiento'!$C$30,IF(AND(RIGHT(A20,2)&gt;='Tabla Vencimiento'!$A$31,RIGHT(A20,2)&lt;='Tabla Vencimiento'!$B$31),'Tabla Vencimiento'!$C$31,IF(AND(RIGHT(A20,2)&gt;='Tabla Vencimiento'!$A$32,RIGHT(A20,2)&lt;='Tabla Vencimiento'!$B$32),'Tabla Vencimiento'!$C$32,IF(AND(RIGHT(A20,2)&gt;='Tabla Vencimiento'!$A$33,RIGHT(A20,2)&lt;='Tabla Vencimiento'!$B$33),'Tabla Vencimiento'!$C$33,IF(AND(RIGHT(A20,2)&gt;='Tabla Vencimiento'!$A$34,RIGHT(A20,2)&lt;='Tabla Vencimiento'!$B$34),'Tabla Vencimiento'!$C$34,IF(AND(RIGHT(A20,2)&gt;='Tabla Vencimiento'!$A$35),'Tabla Vencimiento'!$C$35,0))))))))))))))))))))))))</f>
        <v>0</v>
      </c>
      <c r="K20" s="56">
        <f>+IF((D20="Tributación Simple"),VLOOKUP(RIGHT(A20,1),'Tabla Vencimiento'!$F$17:$G$26,2,0),0)</f>
        <v>0</v>
      </c>
      <c r="L20" s="56">
        <f>+IF(AND(RIGHT(A20,2) &gt;='Tabla Vencimiento'!$A$16,RIGHT(A20,2) &lt;='Tabla Vencimiento'!$B$16),'Tabla Vencimiento'!$D$16,IF(AND(RIGHT(A20,2) &gt;='Tabla Vencimiento'!$A$17,RIGHT(A20,2) &lt;='Tabla Vencimiento'!$B$17),'Tabla Vencimiento'!$D$17,IF(AND(RIGHT(A20,2) &gt;='Tabla Vencimiento'!$A$18,RIGHT(A20,2) &lt;='Tabla Vencimiento'!$B$18),'Tabla Vencimiento'!$D$18,IF(AND(RIGHT(A20,2) &gt;='Tabla Vencimiento'!$A$19,RIGHT(A20,2) &lt;='Tabla Vencimiento'!$B$19),'Tabla Vencimiento'!$D$19,IF(AND(RIGHT(A20,2) &gt;='Tabla Vencimiento'!$A$20,RIGHT(A20,2) &lt;='Tabla Vencimiento'!$B$20),'Tabla Vencimiento'!$D$20,IF(AND(RIGHT(A20,2) &gt;='Tabla Vencimiento'!$A$21,RIGHT(A20,2) &lt;='Tabla Vencimiento'!$B$21),'Tabla Vencimiento'!$D$21,IF(AND(RIGHT(A20,2) &gt;='Tabla Vencimiento'!$A$22,RIGHT(A20,2) &lt;='Tabla Vencimiento'!$B$22),'Tabla Vencimiento'!$D$22,IF(AND(RIGHT(A20,2) &gt;='Tabla Vencimiento'!$A$23,RIGHT(A20,2) &lt;='Tabla Vencimiento'!$B$23),'Tabla Vencimiento'!$D$23,IF(AND(RIGHT(A20,2) &gt;='Tabla Vencimiento'!$A$24,RIGHT(A20,2) &lt;='Tabla Vencimiento'!$B$24),'Tabla Vencimiento'!$D$24,IF(AND(RIGHT(A20,2) &gt;='Tabla Vencimiento'!$A$25,RIGHT(A20,2) &lt;='Tabla Vencimiento'!$B$25),'Tabla Vencimiento'!$D$25,IF(AND(RIGHT(A20,2) &gt;='Tabla Vencimiento'!$A$26,RIGHT(A20,2) &lt;='Tabla Vencimiento'!$B$26),'Tabla Vencimiento'!$D$26,IF(AND(RIGHT(A20,2) &gt;='Tabla Vencimiento'!$A$27,RIGHT(A20,2) &lt;='Tabla Vencimiento'!$B$27),'Tabla Vencimiento'!$D$27,IF(AND(RIGHT(A20,2) &gt;='Tabla Vencimiento'!$A$28,RIGHT(A20,2) &lt;='Tabla Vencimiento'!$B$28),'Tabla Vencimiento'!$D$28,IF(AND(RIGHT(A20,2) &gt;='Tabla Vencimiento'!$A$29,RIGHT(A20,2) &lt;='Tabla Vencimiento'!$B$29),'Tabla Vencimiento'!$D$29,IF(AND(RIGHT(A20,2) &gt;='Tabla Vencimiento'!$A$30,RIGHT(A20,2) &lt;='Tabla Vencimiento'!$B$30),'Tabla Vencimiento'!$D$30,IF(AND(RIGHT(A20,2) &gt;='Tabla Vencimiento'!$A$31,RIGHT(A20,2) &lt;='Tabla Vencimiento'!$B$31),'Tabla Vencimiento'!$D$31,IF(AND(RIGHT(A20,2) &gt;='Tabla Vencimiento'!$A$32,RIGHT(A20,2) &lt;='Tabla Vencimiento'!$B$32),'Tabla Vencimiento'!$D$32,IF(AND(RIGHT(A20,2) &gt;='Tabla Vencimiento'!$A$33,RIGHT(A20,2) &lt;='Tabla Vencimiento'!$B$33),'Tabla Vencimiento'!$D$33,IF(AND(RIGHT(A20,2) &gt;='Tabla Vencimiento'!$A$34,RIGHT(A20,2) &lt;='Tabla Vencimiento'!$B$34),'Tabla Vencimiento'!$D$34,IF(AND(RIGHT(A20,2) &gt;='Tabla Vencimiento'!$A$35),'Tabla Vencimiento'!$D$35,0))))))))))))))))))))</f>
        <v>0</v>
      </c>
    </row>
    <row r="21" spans="1:12" x14ac:dyDescent="0.45">
      <c r="A21" s="52"/>
      <c r="B21" s="52"/>
      <c r="C21" s="52"/>
      <c r="D21" s="52"/>
      <c r="E21" s="52"/>
      <c r="F21" s="56" t="b">
        <f ca="1">IFERROR(+IF(MONTH(TODAY())=2,VLOOKUP(RIGHT(A21,1),'Tabla Vencimiento'!$A$3:$B$12,2,IF(MONTH(TODAY())=3,VLOOKUP(RIGHT(A21,1),'Tabla Vencimiento'!$A$3:$C$12,3),IF(MONTH(TODAY())=4,VLOOKUP(RIGHT(A21,1),'Tabla Vencimiento'!$A$3:$D$12,4),IF(MONTH(TODAY())=5,VLOOKUP(RIGHT(A21,1),'Tabla Vencimiento'!$A$3:$E$12,5,0),IF(MONTH(TODAY())=6,VLOOKUP(RIGHT(A21,1),'Tabla Vencimiento'!$A$3:$F$12,6),IF(MONTH(TODAY())=7,VLOOKUP(RIGHT(A21,1),'Tabla Vencimiento'!$A$3:$G$12,7),IF(MONTH(TODAY())=8,VLOOKUP(RIGHT(A21,1),'Tabla Vencimiento'!$A$3:$H$12,8),IF(MONTH(TODAY())=9,VLOOKUP(RIGHT(A21,1),'Tabla Vencimiento'!$A$3:$I$12,9),IF(MONTH(TODAY())=10,VLOOKUP(RIGHT(A21,1),'Tabla Vencimiento'!$A$3:$J$12,10),IF(MONTH(TODAY())=11,VLOOKUP(RIGHT(A21,1),'Tabla Vencimiento'!$A$3:$K$12,11),IF(MONTH(TODAY())=12,VLOOKUP(RIGHT(A21,1),'Tabla Vencimiento'!$A$3:$L$12,12),0)))))))))))),0)</f>
        <v>0</v>
      </c>
      <c r="G21" s="56">
        <f ca="1">IFERROR(+IF(C21="No Responsable", 0,+IF(D21="Tributación Simple", 0,+IF(AND(C21="Bimestral",MONTH(TODAY())-1&lt;=2),VLOOKUP(RIGHT(A21,1),'Tabla Vencimiento'!$A$3:$C$12,3,0),IF(AND(C21="Bimestral",MONTH(TODAY())-1&lt;=4),VLOOKUP(RIGHT(A21,1),'Tabla Vencimiento'!$A$3:$E$12,5,0),IF(AND(C21="Bimestral",MONTH(TODAY())-1&lt;=6),VLOOKUP(RIGHT(A21,1),'Tabla Vencimiento'!$A$3:$G$12,7,0),IF(AND(C21="Bimestral",MONTH(TODAY())-1&lt;=8),VLOOKUP(RIGHT(A21,1),'Tabla Vencimiento'!$A$3:$I$12,9,0),IF(AND(C21="Bimestral",MONTH(TODAY())-1=10),VLOOKUP(RIGHT(A21,1),'Tabla Vencimiento'!$A$3:$K$12,11,0),IF(AND(C21="Bimestral",MONTH(TODAY())-1&lt;=12),VLOOKUP(RIGHT(A21,1),'Tabla Vencimiento'!$A$3:$M$12,13,0),IF(AND(C21="Cuatrimestral",MONTH(TODAY())-1&lt;=4),VLOOKUP(RIGHT(A21,1),'Tabla Vencimiento'!$A$3:$E$12,5,0),IF(AND(C21="Cuatrimestral",MONTH(TODAY())-1&lt;=8),VLOOKUP(RIGHT(A21,1),'Tabla Vencimiento'!$A$3:$I$12,9,0),IF(AND(C21="Cuatrimestral",MONTH(TODAY())-1&lt;=12),VLOOKUP(RIGHT(A21,1),'Tabla Vencimiento'!$A$3:$M$12,13,0),0))))))))))),0)</f>
        <v>0</v>
      </c>
      <c r="H21" s="57">
        <f ca="1">+IF(AND(D21="Tributación Simple",MONTH(TODAY())=2),VLOOKUP(RIGHT(A21,1),'Tabla Vencimiento'!$I$17:$J$26,2,0),0)</f>
        <v>0</v>
      </c>
      <c r="I21" s="56">
        <f ca="1">+IF(AND(D21="Tributación Simple",MONTH(TODAY())=2),VLOOKUP(RIGHT(A21,1),'Tabla Vencimiento'!$A$39:$G$48,2,0),+IF(AND(D21="Tributación Simple",MONTH(TODAY())=4),VLOOKUP(RIGHT(A21,1),'Tabla Vencimiento'!$A$39:$G$48,3,0),+IF(AND(D21="Tributación Simple",MONTH(TODAY())=6),VLOOKUP(RIGHT(A21,1),'Tabla Vencimiento'!$A$39:$G$48,4,0),+IF(AND(D21="Tributación Simple",MONTH(TODAY())=8),VLOOKUP(RIGHT(A21,1),'Tabla Vencimiento'!$A$39:$G$48,5,0),+IF(AND(D21="Tributación Simple",MONTH(TODAY())=10),VLOOKUP(RIGHT(A21,1),'Tabla Vencimiento'!$A$39:$G$48,6,0),+IF(AND(D21="Tributación Simple",MONTH(TODAY())=12),VLOOKUP(RIGHT(A21,1),'Tabla Vencimiento'!$A$39:$G$48,7,0),0))))))</f>
        <v>0</v>
      </c>
      <c r="J21" s="56">
        <f>+IF(AND(D21="Ordinario",E21="PN"),VLOOKUP(RIGHT(A21,2),'Tabla Vencimiento'!$I$40:$J$139,2,0),+IF(AND(D21="Ordinario",E21="PN"),VLOOKUP(RIGHT(A21,2),'Tabla Vencimiento'!$J$40:$J$139,2,0),+IF(AND(D21="Tributación Simple",E21="PN"),0,+IF(AND(D21="Tributación Simple",E21="PJ"),0,+IF(AND(RIGHT(A21,2)&gt;='Tabla Vencimiento'!$A$16,RIGHT(A21,2)&lt;='Tabla Vencimiento'!$B$16),'Tabla Vencimiento'!$C$16,IF(AND(RIGHT(A21,2)&gt;='Tabla Vencimiento'!$A$17,RIGHT(A21,2)&lt;='Tabla Vencimiento'!$B$17),'Tabla Vencimiento'!$C$17,IF(AND(RIGHT(A21,2)&gt;='Tabla Vencimiento'!$A$18,RIGHT(A21,2)&lt;='Tabla Vencimiento'!$B$18),'Tabla Vencimiento'!$C$18,IF(AND(RIGHT(A21,2)&gt;='Tabla Vencimiento'!$A$19,RIGHT(A21,2)&lt;='Tabla Vencimiento'!$B$19),'Tabla Vencimiento'!$C$19,IF(AND(RIGHT(A21,2)&gt;='Tabla Vencimiento'!$A$20,RIGHT(A21,2)&lt;='Tabla Vencimiento'!$B$20),'Tabla Vencimiento'!$C$20,IF(AND(RIGHT(A21,2)&gt;='Tabla Vencimiento'!$A$21,RIGHT(A21,2)&lt;='Tabla Vencimiento'!$B$21),'Tabla Vencimiento'!$C$21,IF(AND(RIGHT(A21,2)&gt;='Tabla Vencimiento'!$A$22,RIGHT(A21,2)&lt;='Tabla Vencimiento'!$B$22),'Tabla Vencimiento'!$C$22,IF(AND(RIGHT(A21,2)&gt;='Tabla Vencimiento'!$A$23,RIGHT(A21,2)&lt;='Tabla Vencimiento'!$B$23),'Tabla Vencimiento'!$C$23,IF(AND(RIGHT(A21,2)&gt;='Tabla Vencimiento'!$A$24,RIGHT(A21,2)&lt;='Tabla Vencimiento'!$B$24),'Tabla Vencimiento'!$C$24,IF(AND(RIGHT(A21,2)&gt;='Tabla Vencimiento'!$A$25,RIGHT(A21,2)&lt;='Tabla Vencimiento'!$B$25),'Tabla Vencimiento'!$C$25,IF(AND(RIGHT(A21,2)&gt;='Tabla Vencimiento'!$A$26,RIGHT(A21,2)&lt;='Tabla Vencimiento'!$B$26),'Tabla Vencimiento'!$C$26,IF(AND(RIGHT(A21,2)&gt;='Tabla Vencimiento'!$A$27,RIGHT(A21,2)&lt;='Tabla Vencimiento'!$B$27),'Tabla Vencimiento'!$C$27,IF(AND(RIGHT(A21,2)&gt;='Tabla Vencimiento'!$A$28,RIGHT(A21,2)&lt;='Tabla Vencimiento'!$B$28),'Tabla Vencimiento'!$C$28,IF(AND(RIGHT(A21,2)&gt;='Tabla Vencimiento'!$A$29,RIGHT(A21,2)&lt;='Tabla Vencimiento'!$B$29),'Tabla Vencimiento'!$C$29,IF(AND(RIGHT(A21,2)&gt;='Tabla Vencimiento'!$A$30,RIGHT(A21,2)&lt;='Tabla Vencimiento'!$B$30),'Tabla Vencimiento'!$C$30,IF(AND(RIGHT(A21,2)&gt;='Tabla Vencimiento'!$A$31,RIGHT(A21,2)&lt;='Tabla Vencimiento'!$B$31),'Tabla Vencimiento'!$C$31,IF(AND(RIGHT(A21,2)&gt;='Tabla Vencimiento'!$A$32,RIGHT(A21,2)&lt;='Tabla Vencimiento'!$B$32),'Tabla Vencimiento'!$C$32,IF(AND(RIGHT(A21,2)&gt;='Tabla Vencimiento'!$A$33,RIGHT(A21,2)&lt;='Tabla Vencimiento'!$B$33),'Tabla Vencimiento'!$C$33,IF(AND(RIGHT(A21,2)&gt;='Tabla Vencimiento'!$A$34,RIGHT(A21,2)&lt;='Tabla Vencimiento'!$B$34),'Tabla Vencimiento'!$C$34,IF(AND(RIGHT(A21,2)&gt;='Tabla Vencimiento'!$A$35),'Tabla Vencimiento'!$C$35,0))))))))))))))))))))))))</f>
        <v>0</v>
      </c>
      <c r="K21" s="56">
        <f>+IF((D21="Tributación Simple"),VLOOKUP(RIGHT(A21,1),'Tabla Vencimiento'!$F$17:$G$26,2,0),0)</f>
        <v>0</v>
      </c>
      <c r="L21" s="56">
        <f>+IF(AND(RIGHT(A21,2) &gt;='Tabla Vencimiento'!$A$16,RIGHT(A21,2) &lt;='Tabla Vencimiento'!$B$16),'Tabla Vencimiento'!$D$16,IF(AND(RIGHT(A21,2) &gt;='Tabla Vencimiento'!$A$17,RIGHT(A21,2) &lt;='Tabla Vencimiento'!$B$17),'Tabla Vencimiento'!$D$17,IF(AND(RIGHT(A21,2) &gt;='Tabla Vencimiento'!$A$18,RIGHT(A21,2) &lt;='Tabla Vencimiento'!$B$18),'Tabla Vencimiento'!$D$18,IF(AND(RIGHT(A21,2) &gt;='Tabla Vencimiento'!$A$19,RIGHT(A21,2) &lt;='Tabla Vencimiento'!$B$19),'Tabla Vencimiento'!$D$19,IF(AND(RIGHT(A21,2) &gt;='Tabla Vencimiento'!$A$20,RIGHT(A21,2) &lt;='Tabla Vencimiento'!$B$20),'Tabla Vencimiento'!$D$20,IF(AND(RIGHT(A21,2) &gt;='Tabla Vencimiento'!$A$21,RIGHT(A21,2) &lt;='Tabla Vencimiento'!$B$21),'Tabla Vencimiento'!$D$21,IF(AND(RIGHT(A21,2) &gt;='Tabla Vencimiento'!$A$22,RIGHT(A21,2) &lt;='Tabla Vencimiento'!$B$22),'Tabla Vencimiento'!$D$22,IF(AND(RIGHT(A21,2) &gt;='Tabla Vencimiento'!$A$23,RIGHT(A21,2) &lt;='Tabla Vencimiento'!$B$23),'Tabla Vencimiento'!$D$23,IF(AND(RIGHT(A21,2) &gt;='Tabla Vencimiento'!$A$24,RIGHT(A21,2) &lt;='Tabla Vencimiento'!$B$24),'Tabla Vencimiento'!$D$24,IF(AND(RIGHT(A21,2) &gt;='Tabla Vencimiento'!$A$25,RIGHT(A21,2) &lt;='Tabla Vencimiento'!$B$25),'Tabla Vencimiento'!$D$25,IF(AND(RIGHT(A21,2) &gt;='Tabla Vencimiento'!$A$26,RIGHT(A21,2) &lt;='Tabla Vencimiento'!$B$26),'Tabla Vencimiento'!$D$26,IF(AND(RIGHT(A21,2) &gt;='Tabla Vencimiento'!$A$27,RIGHT(A21,2) &lt;='Tabla Vencimiento'!$B$27),'Tabla Vencimiento'!$D$27,IF(AND(RIGHT(A21,2) &gt;='Tabla Vencimiento'!$A$28,RIGHT(A21,2) &lt;='Tabla Vencimiento'!$B$28),'Tabla Vencimiento'!$D$28,IF(AND(RIGHT(A21,2) &gt;='Tabla Vencimiento'!$A$29,RIGHT(A21,2) &lt;='Tabla Vencimiento'!$B$29),'Tabla Vencimiento'!$D$29,IF(AND(RIGHT(A21,2) &gt;='Tabla Vencimiento'!$A$30,RIGHT(A21,2) &lt;='Tabla Vencimiento'!$B$30),'Tabla Vencimiento'!$D$30,IF(AND(RIGHT(A21,2) &gt;='Tabla Vencimiento'!$A$31,RIGHT(A21,2) &lt;='Tabla Vencimiento'!$B$31),'Tabla Vencimiento'!$D$31,IF(AND(RIGHT(A21,2) &gt;='Tabla Vencimiento'!$A$32,RIGHT(A21,2) &lt;='Tabla Vencimiento'!$B$32),'Tabla Vencimiento'!$D$32,IF(AND(RIGHT(A21,2) &gt;='Tabla Vencimiento'!$A$33,RIGHT(A21,2) &lt;='Tabla Vencimiento'!$B$33),'Tabla Vencimiento'!$D$33,IF(AND(RIGHT(A21,2) &gt;='Tabla Vencimiento'!$A$34,RIGHT(A21,2) &lt;='Tabla Vencimiento'!$B$34),'Tabla Vencimiento'!$D$34,IF(AND(RIGHT(A21,2) &gt;='Tabla Vencimiento'!$A$35),'Tabla Vencimiento'!$D$35,0))))))))))))))))))))</f>
        <v>0</v>
      </c>
    </row>
    <row r="22" spans="1:12" x14ac:dyDescent="0.45">
      <c r="A22" s="52"/>
      <c r="B22" s="52"/>
      <c r="C22" s="52"/>
      <c r="D22" s="52"/>
      <c r="E22" s="52"/>
      <c r="F22" s="56" t="b">
        <f ca="1">IFERROR(+IF(MONTH(TODAY())=2,VLOOKUP(RIGHT(A22,1),'Tabla Vencimiento'!$A$3:$B$12,2,IF(MONTH(TODAY())=3,VLOOKUP(RIGHT(A22,1),'Tabla Vencimiento'!$A$3:$C$12,3),IF(MONTH(TODAY())=4,VLOOKUP(RIGHT(A22,1),'Tabla Vencimiento'!$A$3:$D$12,4),IF(MONTH(TODAY())=5,VLOOKUP(RIGHT(A22,1),'Tabla Vencimiento'!$A$3:$E$12,5,0),IF(MONTH(TODAY())=6,VLOOKUP(RIGHT(A22,1),'Tabla Vencimiento'!$A$3:$F$12,6),IF(MONTH(TODAY())=7,VLOOKUP(RIGHT(A22,1),'Tabla Vencimiento'!$A$3:$G$12,7),IF(MONTH(TODAY())=8,VLOOKUP(RIGHT(A22,1),'Tabla Vencimiento'!$A$3:$H$12,8),IF(MONTH(TODAY())=9,VLOOKUP(RIGHT(A22,1),'Tabla Vencimiento'!$A$3:$I$12,9),IF(MONTH(TODAY())=10,VLOOKUP(RIGHT(A22,1),'Tabla Vencimiento'!$A$3:$J$12,10),IF(MONTH(TODAY())=11,VLOOKUP(RIGHT(A22,1),'Tabla Vencimiento'!$A$3:$K$12,11),IF(MONTH(TODAY())=12,VLOOKUP(RIGHT(A22,1),'Tabla Vencimiento'!$A$3:$L$12,12),0)))))))))))),0)</f>
        <v>0</v>
      </c>
      <c r="G22" s="56">
        <f ca="1">IFERROR(+IF(C22="No Responsable", 0,+IF(D22="Tributación Simple", 0,+IF(AND(C22="Bimestral",MONTH(TODAY())-1&lt;=2),VLOOKUP(RIGHT(A22,1),'Tabla Vencimiento'!$A$3:$C$12,3,0),IF(AND(C22="Bimestral",MONTH(TODAY())-1&lt;=4),VLOOKUP(RIGHT(A22,1),'Tabla Vencimiento'!$A$3:$E$12,5,0),IF(AND(C22="Bimestral",MONTH(TODAY())-1&lt;=6),VLOOKUP(RIGHT(A22,1),'Tabla Vencimiento'!$A$3:$G$12,7,0),IF(AND(C22="Bimestral",MONTH(TODAY())-1&lt;=8),VLOOKUP(RIGHT(A22,1),'Tabla Vencimiento'!$A$3:$I$12,9,0),IF(AND(C22="Bimestral",MONTH(TODAY())-1=10),VLOOKUP(RIGHT(A22,1),'Tabla Vencimiento'!$A$3:$K$12,11,0),IF(AND(C22="Bimestral",MONTH(TODAY())-1&lt;=12),VLOOKUP(RIGHT(A22,1),'Tabla Vencimiento'!$A$3:$M$12,13,0),IF(AND(C22="Cuatrimestral",MONTH(TODAY())-1&lt;=4),VLOOKUP(RIGHT(A22,1),'Tabla Vencimiento'!$A$3:$E$12,5,0),IF(AND(C22="Cuatrimestral",MONTH(TODAY())-1&lt;=8),VLOOKUP(RIGHT(A22,1),'Tabla Vencimiento'!$A$3:$I$12,9,0),IF(AND(C22="Cuatrimestral",MONTH(TODAY())-1&lt;=12),VLOOKUP(RIGHT(A22,1),'Tabla Vencimiento'!$A$3:$M$12,13,0),0))))))))))),0)</f>
        <v>0</v>
      </c>
      <c r="H22" s="57">
        <f ca="1">+IF(AND(D22="Tributación Simple",MONTH(TODAY())=2),VLOOKUP(RIGHT(A22,1),'Tabla Vencimiento'!$I$17:$J$26,2,0),0)</f>
        <v>0</v>
      </c>
      <c r="I22" s="56">
        <f ca="1">+IF(AND(D22="Tributación Simple",MONTH(TODAY())=2),VLOOKUP(RIGHT(A22,1),'Tabla Vencimiento'!$A$39:$G$48,2,0),+IF(AND(D22="Tributación Simple",MONTH(TODAY())=4),VLOOKUP(RIGHT(A22,1),'Tabla Vencimiento'!$A$39:$G$48,3,0),+IF(AND(D22="Tributación Simple",MONTH(TODAY())=6),VLOOKUP(RIGHT(A22,1),'Tabla Vencimiento'!$A$39:$G$48,4,0),+IF(AND(D22="Tributación Simple",MONTH(TODAY())=8),VLOOKUP(RIGHT(A22,1),'Tabla Vencimiento'!$A$39:$G$48,5,0),+IF(AND(D22="Tributación Simple",MONTH(TODAY())=10),VLOOKUP(RIGHT(A22,1),'Tabla Vencimiento'!$A$39:$G$48,6,0),+IF(AND(D22="Tributación Simple",MONTH(TODAY())=12),VLOOKUP(RIGHT(A22,1),'Tabla Vencimiento'!$A$39:$G$48,7,0),0))))))</f>
        <v>0</v>
      </c>
      <c r="J22" s="56">
        <f>+IF(AND(D22="Ordinario",E22="PN"),VLOOKUP(RIGHT(A22,2),'Tabla Vencimiento'!$I$40:$J$139,2,0),+IF(AND(D22="Ordinario",E22="PN"),VLOOKUP(RIGHT(A22,2),'Tabla Vencimiento'!$J$40:$J$139,2,0),+IF(AND(D22="Tributación Simple",E22="PN"),0,+IF(AND(D22="Tributación Simple",E22="PJ"),0,+IF(AND(RIGHT(A22,2)&gt;='Tabla Vencimiento'!$A$16,RIGHT(A22,2)&lt;='Tabla Vencimiento'!$B$16),'Tabla Vencimiento'!$C$16,IF(AND(RIGHT(A22,2)&gt;='Tabla Vencimiento'!$A$17,RIGHT(A22,2)&lt;='Tabla Vencimiento'!$B$17),'Tabla Vencimiento'!$C$17,IF(AND(RIGHT(A22,2)&gt;='Tabla Vencimiento'!$A$18,RIGHT(A22,2)&lt;='Tabla Vencimiento'!$B$18),'Tabla Vencimiento'!$C$18,IF(AND(RIGHT(A22,2)&gt;='Tabla Vencimiento'!$A$19,RIGHT(A22,2)&lt;='Tabla Vencimiento'!$B$19),'Tabla Vencimiento'!$C$19,IF(AND(RIGHT(A22,2)&gt;='Tabla Vencimiento'!$A$20,RIGHT(A22,2)&lt;='Tabla Vencimiento'!$B$20),'Tabla Vencimiento'!$C$20,IF(AND(RIGHT(A22,2)&gt;='Tabla Vencimiento'!$A$21,RIGHT(A22,2)&lt;='Tabla Vencimiento'!$B$21),'Tabla Vencimiento'!$C$21,IF(AND(RIGHT(A22,2)&gt;='Tabla Vencimiento'!$A$22,RIGHT(A22,2)&lt;='Tabla Vencimiento'!$B$22),'Tabla Vencimiento'!$C$22,IF(AND(RIGHT(A22,2)&gt;='Tabla Vencimiento'!$A$23,RIGHT(A22,2)&lt;='Tabla Vencimiento'!$B$23),'Tabla Vencimiento'!$C$23,IF(AND(RIGHT(A22,2)&gt;='Tabla Vencimiento'!$A$24,RIGHT(A22,2)&lt;='Tabla Vencimiento'!$B$24),'Tabla Vencimiento'!$C$24,IF(AND(RIGHT(A22,2)&gt;='Tabla Vencimiento'!$A$25,RIGHT(A22,2)&lt;='Tabla Vencimiento'!$B$25),'Tabla Vencimiento'!$C$25,IF(AND(RIGHT(A22,2)&gt;='Tabla Vencimiento'!$A$26,RIGHT(A22,2)&lt;='Tabla Vencimiento'!$B$26),'Tabla Vencimiento'!$C$26,IF(AND(RIGHT(A22,2)&gt;='Tabla Vencimiento'!$A$27,RIGHT(A22,2)&lt;='Tabla Vencimiento'!$B$27),'Tabla Vencimiento'!$C$27,IF(AND(RIGHT(A22,2)&gt;='Tabla Vencimiento'!$A$28,RIGHT(A22,2)&lt;='Tabla Vencimiento'!$B$28),'Tabla Vencimiento'!$C$28,IF(AND(RIGHT(A22,2)&gt;='Tabla Vencimiento'!$A$29,RIGHT(A22,2)&lt;='Tabla Vencimiento'!$B$29),'Tabla Vencimiento'!$C$29,IF(AND(RIGHT(A22,2)&gt;='Tabla Vencimiento'!$A$30,RIGHT(A22,2)&lt;='Tabla Vencimiento'!$B$30),'Tabla Vencimiento'!$C$30,IF(AND(RIGHT(A22,2)&gt;='Tabla Vencimiento'!$A$31,RIGHT(A22,2)&lt;='Tabla Vencimiento'!$B$31),'Tabla Vencimiento'!$C$31,IF(AND(RIGHT(A22,2)&gt;='Tabla Vencimiento'!$A$32,RIGHT(A22,2)&lt;='Tabla Vencimiento'!$B$32),'Tabla Vencimiento'!$C$32,IF(AND(RIGHT(A22,2)&gt;='Tabla Vencimiento'!$A$33,RIGHT(A22,2)&lt;='Tabla Vencimiento'!$B$33),'Tabla Vencimiento'!$C$33,IF(AND(RIGHT(A22,2)&gt;='Tabla Vencimiento'!$A$34,RIGHT(A22,2)&lt;='Tabla Vencimiento'!$B$34),'Tabla Vencimiento'!$C$34,IF(AND(RIGHT(A22,2)&gt;='Tabla Vencimiento'!$A$35),'Tabla Vencimiento'!$C$35,0))))))))))))))))))))))))</f>
        <v>0</v>
      </c>
      <c r="K22" s="56">
        <f>+IF((D22="Tributación Simple"),VLOOKUP(RIGHT(A22,1),'Tabla Vencimiento'!$F$17:$G$26,2,0),0)</f>
        <v>0</v>
      </c>
      <c r="L22" s="56">
        <f>+IF(AND(RIGHT(A22,2) &gt;='Tabla Vencimiento'!$A$16,RIGHT(A22,2) &lt;='Tabla Vencimiento'!$B$16),'Tabla Vencimiento'!$D$16,IF(AND(RIGHT(A22,2) &gt;='Tabla Vencimiento'!$A$17,RIGHT(A22,2) &lt;='Tabla Vencimiento'!$B$17),'Tabla Vencimiento'!$D$17,IF(AND(RIGHT(A22,2) &gt;='Tabla Vencimiento'!$A$18,RIGHT(A22,2) &lt;='Tabla Vencimiento'!$B$18),'Tabla Vencimiento'!$D$18,IF(AND(RIGHT(A22,2) &gt;='Tabla Vencimiento'!$A$19,RIGHT(A22,2) &lt;='Tabla Vencimiento'!$B$19),'Tabla Vencimiento'!$D$19,IF(AND(RIGHT(A22,2) &gt;='Tabla Vencimiento'!$A$20,RIGHT(A22,2) &lt;='Tabla Vencimiento'!$B$20),'Tabla Vencimiento'!$D$20,IF(AND(RIGHT(A22,2) &gt;='Tabla Vencimiento'!$A$21,RIGHT(A22,2) &lt;='Tabla Vencimiento'!$B$21),'Tabla Vencimiento'!$D$21,IF(AND(RIGHT(A22,2) &gt;='Tabla Vencimiento'!$A$22,RIGHT(A22,2) &lt;='Tabla Vencimiento'!$B$22),'Tabla Vencimiento'!$D$22,IF(AND(RIGHT(A22,2) &gt;='Tabla Vencimiento'!$A$23,RIGHT(A22,2) &lt;='Tabla Vencimiento'!$B$23),'Tabla Vencimiento'!$D$23,IF(AND(RIGHT(A22,2) &gt;='Tabla Vencimiento'!$A$24,RIGHT(A22,2) &lt;='Tabla Vencimiento'!$B$24),'Tabla Vencimiento'!$D$24,IF(AND(RIGHT(A22,2) &gt;='Tabla Vencimiento'!$A$25,RIGHT(A22,2) &lt;='Tabla Vencimiento'!$B$25),'Tabla Vencimiento'!$D$25,IF(AND(RIGHT(A22,2) &gt;='Tabla Vencimiento'!$A$26,RIGHT(A22,2) &lt;='Tabla Vencimiento'!$B$26),'Tabla Vencimiento'!$D$26,IF(AND(RIGHT(A22,2) &gt;='Tabla Vencimiento'!$A$27,RIGHT(A22,2) &lt;='Tabla Vencimiento'!$B$27),'Tabla Vencimiento'!$D$27,IF(AND(RIGHT(A22,2) &gt;='Tabla Vencimiento'!$A$28,RIGHT(A22,2) &lt;='Tabla Vencimiento'!$B$28),'Tabla Vencimiento'!$D$28,IF(AND(RIGHT(A22,2) &gt;='Tabla Vencimiento'!$A$29,RIGHT(A22,2) &lt;='Tabla Vencimiento'!$B$29),'Tabla Vencimiento'!$D$29,IF(AND(RIGHT(A22,2) &gt;='Tabla Vencimiento'!$A$30,RIGHT(A22,2) &lt;='Tabla Vencimiento'!$B$30),'Tabla Vencimiento'!$D$30,IF(AND(RIGHT(A22,2) &gt;='Tabla Vencimiento'!$A$31,RIGHT(A22,2) &lt;='Tabla Vencimiento'!$B$31),'Tabla Vencimiento'!$D$31,IF(AND(RIGHT(A22,2) &gt;='Tabla Vencimiento'!$A$32,RIGHT(A22,2) &lt;='Tabla Vencimiento'!$B$32),'Tabla Vencimiento'!$D$32,IF(AND(RIGHT(A22,2) &gt;='Tabla Vencimiento'!$A$33,RIGHT(A22,2) &lt;='Tabla Vencimiento'!$B$33),'Tabla Vencimiento'!$D$33,IF(AND(RIGHT(A22,2) &gt;='Tabla Vencimiento'!$A$34,RIGHT(A22,2) &lt;='Tabla Vencimiento'!$B$34),'Tabla Vencimiento'!$D$34,IF(AND(RIGHT(A22,2) &gt;='Tabla Vencimiento'!$A$35),'Tabla Vencimiento'!$D$35,0))))))))))))))))))))</f>
        <v>0</v>
      </c>
    </row>
    <row r="23" spans="1:12" x14ac:dyDescent="0.45">
      <c r="A23" s="52"/>
      <c r="B23" s="52"/>
      <c r="C23" s="52"/>
      <c r="D23" s="52"/>
      <c r="E23" s="52"/>
      <c r="F23" s="56" t="b">
        <f ca="1">IFERROR(+IF(MONTH(TODAY())=2,VLOOKUP(RIGHT(A23,1),'Tabla Vencimiento'!$A$3:$B$12,2,IF(MONTH(TODAY())=3,VLOOKUP(RIGHT(A23,1),'Tabla Vencimiento'!$A$3:$C$12,3),IF(MONTH(TODAY())=4,VLOOKUP(RIGHT(A23,1),'Tabla Vencimiento'!$A$3:$D$12,4),IF(MONTH(TODAY())=5,VLOOKUP(RIGHT(A23,1),'Tabla Vencimiento'!$A$3:$E$12,5,0),IF(MONTH(TODAY())=6,VLOOKUP(RIGHT(A23,1),'Tabla Vencimiento'!$A$3:$F$12,6),IF(MONTH(TODAY())=7,VLOOKUP(RIGHT(A23,1),'Tabla Vencimiento'!$A$3:$G$12,7),IF(MONTH(TODAY())=8,VLOOKUP(RIGHT(A23,1),'Tabla Vencimiento'!$A$3:$H$12,8),IF(MONTH(TODAY())=9,VLOOKUP(RIGHT(A23,1),'Tabla Vencimiento'!$A$3:$I$12,9),IF(MONTH(TODAY())=10,VLOOKUP(RIGHT(A23,1),'Tabla Vencimiento'!$A$3:$J$12,10),IF(MONTH(TODAY())=11,VLOOKUP(RIGHT(A23,1),'Tabla Vencimiento'!$A$3:$K$12,11),IF(MONTH(TODAY())=12,VLOOKUP(RIGHT(A23,1),'Tabla Vencimiento'!$A$3:$L$12,12),0)))))))))))),0)</f>
        <v>0</v>
      </c>
      <c r="G23" s="56">
        <f ca="1">IFERROR(+IF(C23="No Responsable", 0,+IF(D23="Tributación Simple", 0,+IF(AND(C23="Bimestral",MONTH(TODAY())-1&lt;=2),VLOOKUP(RIGHT(A23,1),'Tabla Vencimiento'!$A$3:$C$12,3,0),IF(AND(C23="Bimestral",MONTH(TODAY())-1&lt;=4),VLOOKUP(RIGHT(A23,1),'Tabla Vencimiento'!$A$3:$E$12,5,0),IF(AND(C23="Bimestral",MONTH(TODAY())-1&lt;=6),VLOOKUP(RIGHT(A23,1),'Tabla Vencimiento'!$A$3:$G$12,7,0),IF(AND(C23="Bimestral",MONTH(TODAY())-1&lt;=8),VLOOKUP(RIGHT(A23,1),'Tabla Vencimiento'!$A$3:$I$12,9,0),IF(AND(C23="Bimestral",MONTH(TODAY())-1=10),VLOOKUP(RIGHT(A23,1),'Tabla Vencimiento'!$A$3:$K$12,11,0),IF(AND(C23="Bimestral",MONTH(TODAY())-1&lt;=12),VLOOKUP(RIGHT(A23,1),'Tabla Vencimiento'!$A$3:$M$12,13,0),IF(AND(C23="Cuatrimestral",MONTH(TODAY())-1&lt;=4),VLOOKUP(RIGHT(A23,1),'Tabla Vencimiento'!$A$3:$E$12,5,0),IF(AND(C23="Cuatrimestral",MONTH(TODAY())-1&lt;=8),VLOOKUP(RIGHT(A23,1),'Tabla Vencimiento'!$A$3:$I$12,9,0),IF(AND(C23="Cuatrimestral",MONTH(TODAY())-1&lt;=12),VLOOKUP(RIGHT(A23,1),'Tabla Vencimiento'!$A$3:$M$12,13,0),0))))))))))),0)</f>
        <v>0</v>
      </c>
      <c r="H23" s="57">
        <f ca="1">+IF(AND(D23="Tributación Simple",MONTH(TODAY())=2),VLOOKUP(RIGHT(A23,1),'Tabla Vencimiento'!$I$17:$J$26,2,0),0)</f>
        <v>0</v>
      </c>
      <c r="I23" s="56">
        <f ca="1">+IF(AND(D23="Tributación Simple",MONTH(TODAY())=2),VLOOKUP(RIGHT(A23,1),'Tabla Vencimiento'!$A$39:$G$48,2,0),+IF(AND(D23="Tributación Simple",MONTH(TODAY())=4),VLOOKUP(RIGHT(A23,1),'Tabla Vencimiento'!$A$39:$G$48,3,0),+IF(AND(D23="Tributación Simple",MONTH(TODAY())=6),VLOOKUP(RIGHT(A23,1),'Tabla Vencimiento'!$A$39:$G$48,4,0),+IF(AND(D23="Tributación Simple",MONTH(TODAY())=8),VLOOKUP(RIGHT(A23,1),'Tabla Vencimiento'!$A$39:$G$48,5,0),+IF(AND(D23="Tributación Simple",MONTH(TODAY())=10),VLOOKUP(RIGHT(A23,1),'Tabla Vencimiento'!$A$39:$G$48,6,0),+IF(AND(D23="Tributación Simple",MONTH(TODAY())=12),VLOOKUP(RIGHT(A23,1),'Tabla Vencimiento'!$A$39:$G$48,7,0),0))))))</f>
        <v>0</v>
      </c>
      <c r="J23" s="56">
        <f>+IF(AND(D23="Ordinario",E23="PN"),VLOOKUP(RIGHT(A23,2),'Tabla Vencimiento'!$I$40:$J$139,2,0),+IF(AND(D23="Ordinario",E23="PN"),VLOOKUP(RIGHT(A23,2),'Tabla Vencimiento'!$J$40:$J$139,2,0),+IF(AND(D23="Tributación Simple",E23="PN"),0,+IF(AND(D23="Tributación Simple",E23="PJ"),0,+IF(AND(RIGHT(A23,2)&gt;='Tabla Vencimiento'!$A$16,RIGHT(A23,2)&lt;='Tabla Vencimiento'!$B$16),'Tabla Vencimiento'!$C$16,IF(AND(RIGHT(A23,2)&gt;='Tabla Vencimiento'!$A$17,RIGHT(A23,2)&lt;='Tabla Vencimiento'!$B$17),'Tabla Vencimiento'!$C$17,IF(AND(RIGHT(A23,2)&gt;='Tabla Vencimiento'!$A$18,RIGHT(A23,2)&lt;='Tabla Vencimiento'!$B$18),'Tabla Vencimiento'!$C$18,IF(AND(RIGHT(A23,2)&gt;='Tabla Vencimiento'!$A$19,RIGHT(A23,2)&lt;='Tabla Vencimiento'!$B$19),'Tabla Vencimiento'!$C$19,IF(AND(RIGHT(A23,2)&gt;='Tabla Vencimiento'!$A$20,RIGHT(A23,2)&lt;='Tabla Vencimiento'!$B$20),'Tabla Vencimiento'!$C$20,IF(AND(RIGHT(A23,2)&gt;='Tabla Vencimiento'!$A$21,RIGHT(A23,2)&lt;='Tabla Vencimiento'!$B$21),'Tabla Vencimiento'!$C$21,IF(AND(RIGHT(A23,2)&gt;='Tabla Vencimiento'!$A$22,RIGHT(A23,2)&lt;='Tabla Vencimiento'!$B$22),'Tabla Vencimiento'!$C$22,IF(AND(RIGHT(A23,2)&gt;='Tabla Vencimiento'!$A$23,RIGHT(A23,2)&lt;='Tabla Vencimiento'!$B$23),'Tabla Vencimiento'!$C$23,IF(AND(RIGHT(A23,2)&gt;='Tabla Vencimiento'!$A$24,RIGHT(A23,2)&lt;='Tabla Vencimiento'!$B$24),'Tabla Vencimiento'!$C$24,IF(AND(RIGHT(A23,2)&gt;='Tabla Vencimiento'!$A$25,RIGHT(A23,2)&lt;='Tabla Vencimiento'!$B$25),'Tabla Vencimiento'!$C$25,IF(AND(RIGHT(A23,2)&gt;='Tabla Vencimiento'!$A$26,RIGHT(A23,2)&lt;='Tabla Vencimiento'!$B$26),'Tabla Vencimiento'!$C$26,IF(AND(RIGHT(A23,2)&gt;='Tabla Vencimiento'!$A$27,RIGHT(A23,2)&lt;='Tabla Vencimiento'!$B$27),'Tabla Vencimiento'!$C$27,IF(AND(RIGHT(A23,2)&gt;='Tabla Vencimiento'!$A$28,RIGHT(A23,2)&lt;='Tabla Vencimiento'!$B$28),'Tabla Vencimiento'!$C$28,IF(AND(RIGHT(A23,2)&gt;='Tabla Vencimiento'!$A$29,RIGHT(A23,2)&lt;='Tabla Vencimiento'!$B$29),'Tabla Vencimiento'!$C$29,IF(AND(RIGHT(A23,2)&gt;='Tabla Vencimiento'!$A$30,RIGHT(A23,2)&lt;='Tabla Vencimiento'!$B$30),'Tabla Vencimiento'!$C$30,IF(AND(RIGHT(A23,2)&gt;='Tabla Vencimiento'!$A$31,RIGHT(A23,2)&lt;='Tabla Vencimiento'!$B$31),'Tabla Vencimiento'!$C$31,IF(AND(RIGHT(A23,2)&gt;='Tabla Vencimiento'!$A$32,RIGHT(A23,2)&lt;='Tabla Vencimiento'!$B$32),'Tabla Vencimiento'!$C$32,IF(AND(RIGHT(A23,2)&gt;='Tabla Vencimiento'!$A$33,RIGHT(A23,2)&lt;='Tabla Vencimiento'!$B$33),'Tabla Vencimiento'!$C$33,IF(AND(RIGHT(A23,2)&gt;='Tabla Vencimiento'!$A$34,RIGHT(A23,2)&lt;='Tabla Vencimiento'!$B$34),'Tabla Vencimiento'!$C$34,IF(AND(RIGHT(A23,2)&gt;='Tabla Vencimiento'!$A$35),'Tabla Vencimiento'!$C$35,0))))))))))))))))))))))))</f>
        <v>0</v>
      </c>
      <c r="K23" s="56">
        <f>+IF((D23="Tributación Simple"),VLOOKUP(RIGHT(A23,1),'Tabla Vencimiento'!$F$17:$G$26,2,0),0)</f>
        <v>0</v>
      </c>
      <c r="L23" s="56">
        <f>+IF(AND(RIGHT(A23,2) &gt;='Tabla Vencimiento'!$A$16,RIGHT(A23,2) &lt;='Tabla Vencimiento'!$B$16),'Tabla Vencimiento'!$D$16,IF(AND(RIGHT(A23,2) &gt;='Tabla Vencimiento'!$A$17,RIGHT(A23,2) &lt;='Tabla Vencimiento'!$B$17),'Tabla Vencimiento'!$D$17,IF(AND(RIGHT(A23,2) &gt;='Tabla Vencimiento'!$A$18,RIGHT(A23,2) &lt;='Tabla Vencimiento'!$B$18),'Tabla Vencimiento'!$D$18,IF(AND(RIGHT(A23,2) &gt;='Tabla Vencimiento'!$A$19,RIGHT(A23,2) &lt;='Tabla Vencimiento'!$B$19),'Tabla Vencimiento'!$D$19,IF(AND(RIGHT(A23,2) &gt;='Tabla Vencimiento'!$A$20,RIGHT(A23,2) &lt;='Tabla Vencimiento'!$B$20),'Tabla Vencimiento'!$D$20,IF(AND(RIGHT(A23,2) &gt;='Tabla Vencimiento'!$A$21,RIGHT(A23,2) &lt;='Tabla Vencimiento'!$B$21),'Tabla Vencimiento'!$D$21,IF(AND(RIGHT(A23,2) &gt;='Tabla Vencimiento'!$A$22,RIGHT(A23,2) &lt;='Tabla Vencimiento'!$B$22),'Tabla Vencimiento'!$D$22,IF(AND(RIGHT(A23,2) &gt;='Tabla Vencimiento'!$A$23,RIGHT(A23,2) &lt;='Tabla Vencimiento'!$B$23),'Tabla Vencimiento'!$D$23,IF(AND(RIGHT(A23,2) &gt;='Tabla Vencimiento'!$A$24,RIGHT(A23,2) &lt;='Tabla Vencimiento'!$B$24),'Tabla Vencimiento'!$D$24,IF(AND(RIGHT(A23,2) &gt;='Tabla Vencimiento'!$A$25,RIGHT(A23,2) &lt;='Tabla Vencimiento'!$B$25),'Tabla Vencimiento'!$D$25,IF(AND(RIGHT(A23,2) &gt;='Tabla Vencimiento'!$A$26,RIGHT(A23,2) &lt;='Tabla Vencimiento'!$B$26),'Tabla Vencimiento'!$D$26,IF(AND(RIGHT(A23,2) &gt;='Tabla Vencimiento'!$A$27,RIGHT(A23,2) &lt;='Tabla Vencimiento'!$B$27),'Tabla Vencimiento'!$D$27,IF(AND(RIGHT(A23,2) &gt;='Tabla Vencimiento'!$A$28,RIGHT(A23,2) &lt;='Tabla Vencimiento'!$B$28),'Tabla Vencimiento'!$D$28,IF(AND(RIGHT(A23,2) &gt;='Tabla Vencimiento'!$A$29,RIGHT(A23,2) &lt;='Tabla Vencimiento'!$B$29),'Tabla Vencimiento'!$D$29,IF(AND(RIGHT(A23,2) &gt;='Tabla Vencimiento'!$A$30,RIGHT(A23,2) &lt;='Tabla Vencimiento'!$B$30),'Tabla Vencimiento'!$D$30,IF(AND(RIGHT(A23,2) &gt;='Tabla Vencimiento'!$A$31,RIGHT(A23,2) &lt;='Tabla Vencimiento'!$B$31),'Tabla Vencimiento'!$D$31,IF(AND(RIGHT(A23,2) &gt;='Tabla Vencimiento'!$A$32,RIGHT(A23,2) &lt;='Tabla Vencimiento'!$B$32),'Tabla Vencimiento'!$D$32,IF(AND(RIGHT(A23,2) &gt;='Tabla Vencimiento'!$A$33,RIGHT(A23,2) &lt;='Tabla Vencimiento'!$B$33),'Tabla Vencimiento'!$D$33,IF(AND(RIGHT(A23,2) &gt;='Tabla Vencimiento'!$A$34,RIGHT(A23,2) &lt;='Tabla Vencimiento'!$B$34),'Tabla Vencimiento'!$D$34,IF(AND(RIGHT(A23,2) &gt;='Tabla Vencimiento'!$A$35),'Tabla Vencimiento'!$D$35,0))))))))))))))))))))</f>
        <v>0</v>
      </c>
    </row>
    <row r="24" spans="1:12" x14ac:dyDescent="0.45">
      <c r="A24" s="52"/>
      <c r="B24" s="52"/>
      <c r="C24" s="52"/>
      <c r="D24" s="52"/>
      <c r="E24" s="52"/>
      <c r="F24" s="56" t="b">
        <f ca="1">IFERROR(+IF(MONTH(TODAY())=2,VLOOKUP(RIGHT(A24,1),'Tabla Vencimiento'!$A$3:$B$12,2,IF(MONTH(TODAY())=3,VLOOKUP(RIGHT(A24,1),'Tabla Vencimiento'!$A$3:$C$12,3),IF(MONTH(TODAY())=4,VLOOKUP(RIGHT(A24,1),'Tabla Vencimiento'!$A$3:$D$12,4),IF(MONTH(TODAY())=5,VLOOKUP(RIGHT(A24,1),'Tabla Vencimiento'!$A$3:$E$12,5,0),IF(MONTH(TODAY())=6,VLOOKUP(RIGHT(A24,1),'Tabla Vencimiento'!$A$3:$F$12,6),IF(MONTH(TODAY())=7,VLOOKUP(RIGHT(A24,1),'Tabla Vencimiento'!$A$3:$G$12,7),IF(MONTH(TODAY())=8,VLOOKUP(RIGHT(A24,1),'Tabla Vencimiento'!$A$3:$H$12,8),IF(MONTH(TODAY())=9,VLOOKUP(RIGHT(A24,1),'Tabla Vencimiento'!$A$3:$I$12,9),IF(MONTH(TODAY())=10,VLOOKUP(RIGHT(A24,1),'Tabla Vencimiento'!$A$3:$J$12,10),IF(MONTH(TODAY())=11,VLOOKUP(RIGHT(A24,1),'Tabla Vencimiento'!$A$3:$K$12,11),IF(MONTH(TODAY())=12,VLOOKUP(RIGHT(A24,1),'Tabla Vencimiento'!$A$3:$L$12,12),0)))))))))))),0)</f>
        <v>0</v>
      </c>
      <c r="G24" s="56">
        <f ca="1">IFERROR(+IF(C24="No Responsable", 0,+IF(D24="Tributación Simple", 0,+IF(AND(C24="Bimestral",MONTH(TODAY())-1&lt;=2),VLOOKUP(RIGHT(A24,1),'Tabla Vencimiento'!$A$3:$C$12,3,0),IF(AND(C24="Bimestral",MONTH(TODAY())-1&lt;=4),VLOOKUP(RIGHT(A24,1),'Tabla Vencimiento'!$A$3:$E$12,5,0),IF(AND(C24="Bimestral",MONTH(TODAY())-1&lt;=6),VLOOKUP(RIGHT(A24,1),'Tabla Vencimiento'!$A$3:$G$12,7,0),IF(AND(C24="Bimestral",MONTH(TODAY())-1&lt;=8),VLOOKUP(RIGHT(A24,1),'Tabla Vencimiento'!$A$3:$I$12,9,0),IF(AND(C24="Bimestral",MONTH(TODAY())-1=10),VLOOKUP(RIGHT(A24,1),'Tabla Vencimiento'!$A$3:$K$12,11,0),IF(AND(C24="Bimestral",MONTH(TODAY())-1&lt;=12),VLOOKUP(RIGHT(A24,1),'Tabla Vencimiento'!$A$3:$M$12,13,0),IF(AND(C24="Cuatrimestral",MONTH(TODAY())-1&lt;=4),VLOOKUP(RIGHT(A24,1),'Tabla Vencimiento'!$A$3:$E$12,5,0),IF(AND(C24="Cuatrimestral",MONTH(TODAY())-1&lt;=8),VLOOKUP(RIGHT(A24,1),'Tabla Vencimiento'!$A$3:$I$12,9,0),IF(AND(C24="Cuatrimestral",MONTH(TODAY())-1&lt;=12),VLOOKUP(RIGHT(A24,1),'Tabla Vencimiento'!$A$3:$M$12,13,0),0))))))))))),0)</f>
        <v>0</v>
      </c>
      <c r="H24" s="57">
        <f ca="1">+IF(AND(D24="Tributación Simple",MONTH(TODAY())=2),VLOOKUP(RIGHT(A24,1),'Tabla Vencimiento'!$I$17:$J$26,2,0),0)</f>
        <v>0</v>
      </c>
      <c r="I24" s="56">
        <f ca="1">+IF(AND(D24="Tributación Simple",MONTH(TODAY())=2),VLOOKUP(RIGHT(A24,1),'Tabla Vencimiento'!$A$39:$G$48,2,0),+IF(AND(D24="Tributación Simple",MONTH(TODAY())=4),VLOOKUP(RIGHT(A24,1),'Tabla Vencimiento'!$A$39:$G$48,3,0),+IF(AND(D24="Tributación Simple",MONTH(TODAY())=6),VLOOKUP(RIGHT(A24,1),'Tabla Vencimiento'!$A$39:$G$48,4,0),+IF(AND(D24="Tributación Simple",MONTH(TODAY())=8),VLOOKUP(RIGHT(A24,1),'Tabla Vencimiento'!$A$39:$G$48,5,0),+IF(AND(D24="Tributación Simple",MONTH(TODAY())=10),VLOOKUP(RIGHT(A24,1),'Tabla Vencimiento'!$A$39:$G$48,6,0),+IF(AND(D24="Tributación Simple",MONTH(TODAY())=12),VLOOKUP(RIGHT(A24,1),'Tabla Vencimiento'!$A$39:$G$48,7,0),0))))))</f>
        <v>0</v>
      </c>
      <c r="J24" s="56">
        <f>+IF(AND(D24="Ordinario",E24="PN"),VLOOKUP(RIGHT(A24,2),'Tabla Vencimiento'!$I$40:$J$139,2,0),+IF(AND(D24="Ordinario",E24="PN"),VLOOKUP(RIGHT(A24,2),'Tabla Vencimiento'!$J$40:$J$139,2,0),+IF(AND(D24="Tributación Simple",E24="PN"),0,+IF(AND(D24="Tributación Simple",E24="PJ"),0,+IF(AND(RIGHT(A24,2)&gt;='Tabla Vencimiento'!$A$16,RIGHT(A24,2)&lt;='Tabla Vencimiento'!$B$16),'Tabla Vencimiento'!$C$16,IF(AND(RIGHT(A24,2)&gt;='Tabla Vencimiento'!$A$17,RIGHT(A24,2)&lt;='Tabla Vencimiento'!$B$17),'Tabla Vencimiento'!$C$17,IF(AND(RIGHT(A24,2)&gt;='Tabla Vencimiento'!$A$18,RIGHT(A24,2)&lt;='Tabla Vencimiento'!$B$18),'Tabla Vencimiento'!$C$18,IF(AND(RIGHT(A24,2)&gt;='Tabla Vencimiento'!$A$19,RIGHT(A24,2)&lt;='Tabla Vencimiento'!$B$19),'Tabla Vencimiento'!$C$19,IF(AND(RIGHT(A24,2)&gt;='Tabla Vencimiento'!$A$20,RIGHT(A24,2)&lt;='Tabla Vencimiento'!$B$20),'Tabla Vencimiento'!$C$20,IF(AND(RIGHT(A24,2)&gt;='Tabla Vencimiento'!$A$21,RIGHT(A24,2)&lt;='Tabla Vencimiento'!$B$21),'Tabla Vencimiento'!$C$21,IF(AND(RIGHT(A24,2)&gt;='Tabla Vencimiento'!$A$22,RIGHT(A24,2)&lt;='Tabla Vencimiento'!$B$22),'Tabla Vencimiento'!$C$22,IF(AND(RIGHT(A24,2)&gt;='Tabla Vencimiento'!$A$23,RIGHT(A24,2)&lt;='Tabla Vencimiento'!$B$23),'Tabla Vencimiento'!$C$23,IF(AND(RIGHT(A24,2)&gt;='Tabla Vencimiento'!$A$24,RIGHT(A24,2)&lt;='Tabla Vencimiento'!$B$24),'Tabla Vencimiento'!$C$24,IF(AND(RIGHT(A24,2)&gt;='Tabla Vencimiento'!$A$25,RIGHT(A24,2)&lt;='Tabla Vencimiento'!$B$25),'Tabla Vencimiento'!$C$25,IF(AND(RIGHT(A24,2)&gt;='Tabla Vencimiento'!$A$26,RIGHT(A24,2)&lt;='Tabla Vencimiento'!$B$26),'Tabla Vencimiento'!$C$26,IF(AND(RIGHT(A24,2)&gt;='Tabla Vencimiento'!$A$27,RIGHT(A24,2)&lt;='Tabla Vencimiento'!$B$27),'Tabla Vencimiento'!$C$27,IF(AND(RIGHT(A24,2)&gt;='Tabla Vencimiento'!$A$28,RIGHT(A24,2)&lt;='Tabla Vencimiento'!$B$28),'Tabla Vencimiento'!$C$28,IF(AND(RIGHT(A24,2)&gt;='Tabla Vencimiento'!$A$29,RIGHT(A24,2)&lt;='Tabla Vencimiento'!$B$29),'Tabla Vencimiento'!$C$29,IF(AND(RIGHT(A24,2)&gt;='Tabla Vencimiento'!$A$30,RIGHT(A24,2)&lt;='Tabla Vencimiento'!$B$30),'Tabla Vencimiento'!$C$30,IF(AND(RIGHT(A24,2)&gt;='Tabla Vencimiento'!$A$31,RIGHT(A24,2)&lt;='Tabla Vencimiento'!$B$31),'Tabla Vencimiento'!$C$31,IF(AND(RIGHT(A24,2)&gt;='Tabla Vencimiento'!$A$32,RIGHT(A24,2)&lt;='Tabla Vencimiento'!$B$32),'Tabla Vencimiento'!$C$32,IF(AND(RIGHT(A24,2)&gt;='Tabla Vencimiento'!$A$33,RIGHT(A24,2)&lt;='Tabla Vencimiento'!$B$33),'Tabla Vencimiento'!$C$33,IF(AND(RIGHT(A24,2)&gt;='Tabla Vencimiento'!$A$34,RIGHT(A24,2)&lt;='Tabla Vencimiento'!$B$34),'Tabla Vencimiento'!$C$34,IF(AND(RIGHT(A24,2)&gt;='Tabla Vencimiento'!$A$35),'Tabla Vencimiento'!$C$35,0))))))))))))))))))))))))</f>
        <v>0</v>
      </c>
      <c r="K24" s="56">
        <f>+IF((D24="Tributación Simple"),VLOOKUP(RIGHT(A24,1),'Tabla Vencimiento'!$F$17:$G$26,2,0),0)</f>
        <v>0</v>
      </c>
      <c r="L24" s="56">
        <f>+IF(AND(RIGHT(A24,2) &gt;='Tabla Vencimiento'!$A$16,RIGHT(A24,2) &lt;='Tabla Vencimiento'!$B$16),'Tabla Vencimiento'!$D$16,IF(AND(RIGHT(A24,2) &gt;='Tabla Vencimiento'!$A$17,RIGHT(A24,2) &lt;='Tabla Vencimiento'!$B$17),'Tabla Vencimiento'!$D$17,IF(AND(RIGHT(A24,2) &gt;='Tabla Vencimiento'!$A$18,RIGHT(A24,2) &lt;='Tabla Vencimiento'!$B$18),'Tabla Vencimiento'!$D$18,IF(AND(RIGHT(A24,2) &gt;='Tabla Vencimiento'!$A$19,RIGHT(A24,2) &lt;='Tabla Vencimiento'!$B$19),'Tabla Vencimiento'!$D$19,IF(AND(RIGHT(A24,2) &gt;='Tabla Vencimiento'!$A$20,RIGHT(A24,2) &lt;='Tabla Vencimiento'!$B$20),'Tabla Vencimiento'!$D$20,IF(AND(RIGHT(A24,2) &gt;='Tabla Vencimiento'!$A$21,RIGHT(A24,2) &lt;='Tabla Vencimiento'!$B$21),'Tabla Vencimiento'!$D$21,IF(AND(RIGHT(A24,2) &gt;='Tabla Vencimiento'!$A$22,RIGHT(A24,2) &lt;='Tabla Vencimiento'!$B$22),'Tabla Vencimiento'!$D$22,IF(AND(RIGHT(A24,2) &gt;='Tabla Vencimiento'!$A$23,RIGHT(A24,2) &lt;='Tabla Vencimiento'!$B$23),'Tabla Vencimiento'!$D$23,IF(AND(RIGHT(A24,2) &gt;='Tabla Vencimiento'!$A$24,RIGHT(A24,2) &lt;='Tabla Vencimiento'!$B$24),'Tabla Vencimiento'!$D$24,IF(AND(RIGHT(A24,2) &gt;='Tabla Vencimiento'!$A$25,RIGHT(A24,2) &lt;='Tabla Vencimiento'!$B$25),'Tabla Vencimiento'!$D$25,IF(AND(RIGHT(A24,2) &gt;='Tabla Vencimiento'!$A$26,RIGHT(A24,2) &lt;='Tabla Vencimiento'!$B$26),'Tabla Vencimiento'!$D$26,IF(AND(RIGHT(A24,2) &gt;='Tabla Vencimiento'!$A$27,RIGHT(A24,2) &lt;='Tabla Vencimiento'!$B$27),'Tabla Vencimiento'!$D$27,IF(AND(RIGHT(A24,2) &gt;='Tabla Vencimiento'!$A$28,RIGHT(A24,2) &lt;='Tabla Vencimiento'!$B$28),'Tabla Vencimiento'!$D$28,IF(AND(RIGHT(A24,2) &gt;='Tabla Vencimiento'!$A$29,RIGHT(A24,2) &lt;='Tabla Vencimiento'!$B$29),'Tabla Vencimiento'!$D$29,IF(AND(RIGHT(A24,2) &gt;='Tabla Vencimiento'!$A$30,RIGHT(A24,2) &lt;='Tabla Vencimiento'!$B$30),'Tabla Vencimiento'!$D$30,IF(AND(RIGHT(A24,2) &gt;='Tabla Vencimiento'!$A$31,RIGHT(A24,2) &lt;='Tabla Vencimiento'!$B$31),'Tabla Vencimiento'!$D$31,IF(AND(RIGHT(A24,2) &gt;='Tabla Vencimiento'!$A$32,RIGHT(A24,2) &lt;='Tabla Vencimiento'!$B$32),'Tabla Vencimiento'!$D$32,IF(AND(RIGHT(A24,2) &gt;='Tabla Vencimiento'!$A$33,RIGHT(A24,2) &lt;='Tabla Vencimiento'!$B$33),'Tabla Vencimiento'!$D$33,IF(AND(RIGHT(A24,2) &gt;='Tabla Vencimiento'!$A$34,RIGHT(A24,2) &lt;='Tabla Vencimiento'!$B$34),'Tabla Vencimiento'!$D$34,IF(AND(RIGHT(A24,2) &gt;='Tabla Vencimiento'!$A$35),'Tabla Vencimiento'!$D$35,0))))))))))))))))))))</f>
        <v>0</v>
      </c>
    </row>
    <row r="25" spans="1:12" x14ac:dyDescent="0.45">
      <c r="A25" s="52"/>
      <c r="B25" s="52"/>
      <c r="C25" s="52"/>
      <c r="D25" s="52"/>
      <c r="E25" s="52"/>
      <c r="F25" s="56" t="b">
        <f ca="1">IFERROR(+IF(MONTH(TODAY())=2,VLOOKUP(RIGHT(A25,1),'Tabla Vencimiento'!$A$3:$B$12,2,IF(MONTH(TODAY())=3,VLOOKUP(RIGHT(A25,1),'Tabla Vencimiento'!$A$3:$C$12,3),IF(MONTH(TODAY())=4,VLOOKUP(RIGHT(A25,1),'Tabla Vencimiento'!$A$3:$D$12,4),IF(MONTH(TODAY())=5,VLOOKUP(RIGHT(A25,1),'Tabla Vencimiento'!$A$3:$E$12,5,0),IF(MONTH(TODAY())=6,VLOOKUP(RIGHT(A25,1),'Tabla Vencimiento'!$A$3:$F$12,6),IF(MONTH(TODAY())=7,VLOOKUP(RIGHT(A25,1),'Tabla Vencimiento'!$A$3:$G$12,7),IF(MONTH(TODAY())=8,VLOOKUP(RIGHT(A25,1),'Tabla Vencimiento'!$A$3:$H$12,8),IF(MONTH(TODAY())=9,VLOOKUP(RIGHT(A25,1),'Tabla Vencimiento'!$A$3:$I$12,9),IF(MONTH(TODAY())=10,VLOOKUP(RIGHT(A25,1),'Tabla Vencimiento'!$A$3:$J$12,10),IF(MONTH(TODAY())=11,VLOOKUP(RIGHT(A25,1),'Tabla Vencimiento'!$A$3:$K$12,11),IF(MONTH(TODAY())=12,VLOOKUP(RIGHT(A25,1),'Tabla Vencimiento'!$A$3:$L$12,12),0)))))))))))),0)</f>
        <v>0</v>
      </c>
      <c r="G25" s="56">
        <f ca="1">IFERROR(+IF(C25="No Responsable", 0,+IF(D25="Tributación Simple", 0,+IF(AND(C25="Bimestral",MONTH(TODAY())-1&lt;=2),VLOOKUP(RIGHT(A25,1),'Tabla Vencimiento'!$A$3:$C$12,3,0),IF(AND(C25="Bimestral",MONTH(TODAY())-1&lt;=4),VLOOKUP(RIGHT(A25,1),'Tabla Vencimiento'!$A$3:$E$12,5,0),IF(AND(C25="Bimestral",MONTH(TODAY())-1&lt;=6),VLOOKUP(RIGHT(A25,1),'Tabla Vencimiento'!$A$3:$G$12,7,0),IF(AND(C25="Bimestral",MONTH(TODAY())-1&lt;=8),VLOOKUP(RIGHT(A25,1),'Tabla Vencimiento'!$A$3:$I$12,9,0),IF(AND(C25="Bimestral",MONTH(TODAY())-1=10),VLOOKUP(RIGHT(A25,1),'Tabla Vencimiento'!$A$3:$K$12,11,0),IF(AND(C25="Bimestral",MONTH(TODAY())-1&lt;=12),VLOOKUP(RIGHT(A25,1),'Tabla Vencimiento'!$A$3:$M$12,13,0),IF(AND(C25="Cuatrimestral",MONTH(TODAY())-1&lt;=4),VLOOKUP(RIGHT(A25,1),'Tabla Vencimiento'!$A$3:$E$12,5,0),IF(AND(C25="Cuatrimestral",MONTH(TODAY())-1&lt;=8),VLOOKUP(RIGHT(A25,1),'Tabla Vencimiento'!$A$3:$I$12,9,0),IF(AND(C25="Cuatrimestral",MONTH(TODAY())-1&lt;=12),VLOOKUP(RIGHT(A25,1),'Tabla Vencimiento'!$A$3:$M$12,13,0),0))))))))))),0)</f>
        <v>0</v>
      </c>
      <c r="H25" s="57">
        <f ca="1">+IF(AND(D25="Tributación Simple",MONTH(TODAY())=2),VLOOKUP(RIGHT(A25,1),'Tabla Vencimiento'!$I$17:$J$26,2,0),0)</f>
        <v>0</v>
      </c>
      <c r="I25" s="56">
        <f ca="1">+IF(AND(D25="Tributación Simple",MONTH(TODAY())=2),VLOOKUP(RIGHT(A25,1),'Tabla Vencimiento'!$A$39:$G$48,2,0),+IF(AND(D25="Tributación Simple",MONTH(TODAY())=4),VLOOKUP(RIGHT(A25,1),'Tabla Vencimiento'!$A$39:$G$48,3,0),+IF(AND(D25="Tributación Simple",MONTH(TODAY())=6),VLOOKUP(RIGHT(A25,1),'Tabla Vencimiento'!$A$39:$G$48,4,0),+IF(AND(D25="Tributación Simple",MONTH(TODAY())=8),VLOOKUP(RIGHT(A25,1),'Tabla Vencimiento'!$A$39:$G$48,5,0),+IF(AND(D25="Tributación Simple",MONTH(TODAY())=10),VLOOKUP(RIGHT(A25,1),'Tabla Vencimiento'!$A$39:$G$48,6,0),+IF(AND(D25="Tributación Simple",MONTH(TODAY())=12),VLOOKUP(RIGHT(A25,1),'Tabla Vencimiento'!$A$39:$G$48,7,0),0))))))</f>
        <v>0</v>
      </c>
      <c r="J25" s="56">
        <f>+IF(AND(D25="Ordinario",E25="PN"),VLOOKUP(RIGHT(A25,2),'Tabla Vencimiento'!$I$40:$J$139,2,0),+IF(AND(D25="Ordinario",E25="PN"),VLOOKUP(RIGHT(A25,2),'Tabla Vencimiento'!$J$40:$J$139,2,0),+IF(AND(D25="Tributación Simple",E25="PN"),0,+IF(AND(D25="Tributación Simple",E25="PJ"),0,+IF(AND(RIGHT(A25,2)&gt;='Tabla Vencimiento'!$A$16,RIGHT(A25,2)&lt;='Tabla Vencimiento'!$B$16),'Tabla Vencimiento'!$C$16,IF(AND(RIGHT(A25,2)&gt;='Tabla Vencimiento'!$A$17,RIGHT(A25,2)&lt;='Tabla Vencimiento'!$B$17),'Tabla Vencimiento'!$C$17,IF(AND(RIGHT(A25,2)&gt;='Tabla Vencimiento'!$A$18,RIGHT(A25,2)&lt;='Tabla Vencimiento'!$B$18),'Tabla Vencimiento'!$C$18,IF(AND(RIGHT(A25,2)&gt;='Tabla Vencimiento'!$A$19,RIGHT(A25,2)&lt;='Tabla Vencimiento'!$B$19),'Tabla Vencimiento'!$C$19,IF(AND(RIGHT(A25,2)&gt;='Tabla Vencimiento'!$A$20,RIGHT(A25,2)&lt;='Tabla Vencimiento'!$B$20),'Tabla Vencimiento'!$C$20,IF(AND(RIGHT(A25,2)&gt;='Tabla Vencimiento'!$A$21,RIGHT(A25,2)&lt;='Tabla Vencimiento'!$B$21),'Tabla Vencimiento'!$C$21,IF(AND(RIGHT(A25,2)&gt;='Tabla Vencimiento'!$A$22,RIGHT(A25,2)&lt;='Tabla Vencimiento'!$B$22),'Tabla Vencimiento'!$C$22,IF(AND(RIGHT(A25,2)&gt;='Tabla Vencimiento'!$A$23,RIGHT(A25,2)&lt;='Tabla Vencimiento'!$B$23),'Tabla Vencimiento'!$C$23,IF(AND(RIGHT(A25,2)&gt;='Tabla Vencimiento'!$A$24,RIGHT(A25,2)&lt;='Tabla Vencimiento'!$B$24),'Tabla Vencimiento'!$C$24,IF(AND(RIGHT(A25,2)&gt;='Tabla Vencimiento'!$A$25,RIGHT(A25,2)&lt;='Tabla Vencimiento'!$B$25),'Tabla Vencimiento'!$C$25,IF(AND(RIGHT(A25,2)&gt;='Tabla Vencimiento'!$A$26,RIGHT(A25,2)&lt;='Tabla Vencimiento'!$B$26),'Tabla Vencimiento'!$C$26,IF(AND(RIGHT(A25,2)&gt;='Tabla Vencimiento'!$A$27,RIGHT(A25,2)&lt;='Tabla Vencimiento'!$B$27),'Tabla Vencimiento'!$C$27,IF(AND(RIGHT(A25,2)&gt;='Tabla Vencimiento'!$A$28,RIGHT(A25,2)&lt;='Tabla Vencimiento'!$B$28),'Tabla Vencimiento'!$C$28,IF(AND(RIGHT(A25,2)&gt;='Tabla Vencimiento'!$A$29,RIGHT(A25,2)&lt;='Tabla Vencimiento'!$B$29),'Tabla Vencimiento'!$C$29,IF(AND(RIGHT(A25,2)&gt;='Tabla Vencimiento'!$A$30,RIGHT(A25,2)&lt;='Tabla Vencimiento'!$B$30),'Tabla Vencimiento'!$C$30,IF(AND(RIGHT(A25,2)&gt;='Tabla Vencimiento'!$A$31,RIGHT(A25,2)&lt;='Tabla Vencimiento'!$B$31),'Tabla Vencimiento'!$C$31,IF(AND(RIGHT(A25,2)&gt;='Tabla Vencimiento'!$A$32,RIGHT(A25,2)&lt;='Tabla Vencimiento'!$B$32),'Tabla Vencimiento'!$C$32,IF(AND(RIGHT(A25,2)&gt;='Tabla Vencimiento'!$A$33,RIGHT(A25,2)&lt;='Tabla Vencimiento'!$B$33),'Tabla Vencimiento'!$C$33,IF(AND(RIGHT(A25,2)&gt;='Tabla Vencimiento'!$A$34,RIGHT(A25,2)&lt;='Tabla Vencimiento'!$B$34),'Tabla Vencimiento'!$C$34,IF(AND(RIGHT(A25,2)&gt;='Tabla Vencimiento'!$A$35),'Tabla Vencimiento'!$C$35,0))))))))))))))))))))))))</f>
        <v>0</v>
      </c>
      <c r="K25" s="56">
        <f>+IF((D25="Tributación Simple"),VLOOKUP(RIGHT(A25,1),'Tabla Vencimiento'!$F$17:$G$26,2,0),0)</f>
        <v>0</v>
      </c>
      <c r="L25" s="56">
        <f>+IF(AND(RIGHT(A25,2) &gt;='Tabla Vencimiento'!$A$16,RIGHT(A25,2) &lt;='Tabla Vencimiento'!$B$16),'Tabla Vencimiento'!$D$16,IF(AND(RIGHT(A25,2) &gt;='Tabla Vencimiento'!$A$17,RIGHT(A25,2) &lt;='Tabla Vencimiento'!$B$17),'Tabla Vencimiento'!$D$17,IF(AND(RIGHT(A25,2) &gt;='Tabla Vencimiento'!$A$18,RIGHT(A25,2) &lt;='Tabla Vencimiento'!$B$18),'Tabla Vencimiento'!$D$18,IF(AND(RIGHT(A25,2) &gt;='Tabla Vencimiento'!$A$19,RIGHT(A25,2) &lt;='Tabla Vencimiento'!$B$19),'Tabla Vencimiento'!$D$19,IF(AND(RIGHT(A25,2) &gt;='Tabla Vencimiento'!$A$20,RIGHT(A25,2) &lt;='Tabla Vencimiento'!$B$20),'Tabla Vencimiento'!$D$20,IF(AND(RIGHT(A25,2) &gt;='Tabla Vencimiento'!$A$21,RIGHT(A25,2) &lt;='Tabla Vencimiento'!$B$21),'Tabla Vencimiento'!$D$21,IF(AND(RIGHT(A25,2) &gt;='Tabla Vencimiento'!$A$22,RIGHT(A25,2) &lt;='Tabla Vencimiento'!$B$22),'Tabla Vencimiento'!$D$22,IF(AND(RIGHT(A25,2) &gt;='Tabla Vencimiento'!$A$23,RIGHT(A25,2) &lt;='Tabla Vencimiento'!$B$23),'Tabla Vencimiento'!$D$23,IF(AND(RIGHT(A25,2) &gt;='Tabla Vencimiento'!$A$24,RIGHT(A25,2) &lt;='Tabla Vencimiento'!$B$24),'Tabla Vencimiento'!$D$24,IF(AND(RIGHT(A25,2) &gt;='Tabla Vencimiento'!$A$25,RIGHT(A25,2) &lt;='Tabla Vencimiento'!$B$25),'Tabla Vencimiento'!$D$25,IF(AND(RIGHT(A25,2) &gt;='Tabla Vencimiento'!$A$26,RIGHT(A25,2) &lt;='Tabla Vencimiento'!$B$26),'Tabla Vencimiento'!$D$26,IF(AND(RIGHT(A25,2) &gt;='Tabla Vencimiento'!$A$27,RIGHT(A25,2) &lt;='Tabla Vencimiento'!$B$27),'Tabla Vencimiento'!$D$27,IF(AND(RIGHT(A25,2) &gt;='Tabla Vencimiento'!$A$28,RIGHT(A25,2) &lt;='Tabla Vencimiento'!$B$28),'Tabla Vencimiento'!$D$28,IF(AND(RIGHT(A25,2) &gt;='Tabla Vencimiento'!$A$29,RIGHT(A25,2) &lt;='Tabla Vencimiento'!$B$29),'Tabla Vencimiento'!$D$29,IF(AND(RIGHT(A25,2) &gt;='Tabla Vencimiento'!$A$30,RIGHT(A25,2) &lt;='Tabla Vencimiento'!$B$30),'Tabla Vencimiento'!$D$30,IF(AND(RIGHT(A25,2) &gt;='Tabla Vencimiento'!$A$31,RIGHT(A25,2) &lt;='Tabla Vencimiento'!$B$31),'Tabla Vencimiento'!$D$31,IF(AND(RIGHT(A25,2) &gt;='Tabla Vencimiento'!$A$32,RIGHT(A25,2) &lt;='Tabla Vencimiento'!$B$32),'Tabla Vencimiento'!$D$32,IF(AND(RIGHT(A25,2) &gt;='Tabla Vencimiento'!$A$33,RIGHT(A25,2) &lt;='Tabla Vencimiento'!$B$33),'Tabla Vencimiento'!$D$33,IF(AND(RIGHT(A25,2) &gt;='Tabla Vencimiento'!$A$34,RIGHT(A25,2) &lt;='Tabla Vencimiento'!$B$34),'Tabla Vencimiento'!$D$34,IF(AND(RIGHT(A25,2) &gt;='Tabla Vencimiento'!$A$35),'Tabla Vencimiento'!$D$35,0))))))))))))))))))))</f>
        <v>0</v>
      </c>
    </row>
    <row r="26" spans="1:12" x14ac:dyDescent="0.45">
      <c r="A26" s="52"/>
      <c r="B26" s="52"/>
      <c r="C26" s="52"/>
      <c r="D26" s="52"/>
      <c r="E26" s="52"/>
      <c r="F26" s="56" t="b">
        <f ca="1">IFERROR(+IF(MONTH(TODAY())=2,VLOOKUP(RIGHT(A26,1),'Tabla Vencimiento'!$A$3:$B$12,2,IF(MONTH(TODAY())=3,VLOOKUP(RIGHT(A26,1),'Tabla Vencimiento'!$A$3:$C$12,3),IF(MONTH(TODAY())=4,VLOOKUP(RIGHT(A26,1),'Tabla Vencimiento'!$A$3:$D$12,4),IF(MONTH(TODAY())=5,VLOOKUP(RIGHT(A26,1),'Tabla Vencimiento'!$A$3:$E$12,5,0),IF(MONTH(TODAY())=6,VLOOKUP(RIGHT(A26,1),'Tabla Vencimiento'!$A$3:$F$12,6),IF(MONTH(TODAY())=7,VLOOKUP(RIGHT(A26,1),'Tabla Vencimiento'!$A$3:$G$12,7),IF(MONTH(TODAY())=8,VLOOKUP(RIGHT(A26,1),'Tabla Vencimiento'!$A$3:$H$12,8),IF(MONTH(TODAY())=9,VLOOKUP(RIGHT(A26,1),'Tabla Vencimiento'!$A$3:$I$12,9),IF(MONTH(TODAY())=10,VLOOKUP(RIGHT(A26,1),'Tabla Vencimiento'!$A$3:$J$12,10),IF(MONTH(TODAY())=11,VLOOKUP(RIGHT(A26,1),'Tabla Vencimiento'!$A$3:$K$12,11),IF(MONTH(TODAY())=12,VLOOKUP(RIGHT(A26,1),'Tabla Vencimiento'!$A$3:$L$12,12),0)))))))))))),0)</f>
        <v>0</v>
      </c>
      <c r="G26" s="56">
        <f ca="1">IFERROR(+IF(C26="No Responsable", 0,+IF(D26="Tributación Simple", 0,+IF(AND(C26="Bimestral",MONTH(TODAY())-1&lt;=2),VLOOKUP(RIGHT(A26,1),'Tabla Vencimiento'!$A$3:$C$12,3,0),IF(AND(C26="Bimestral",MONTH(TODAY())-1&lt;=4),VLOOKUP(RIGHT(A26,1),'Tabla Vencimiento'!$A$3:$E$12,5,0),IF(AND(C26="Bimestral",MONTH(TODAY())-1&lt;=6),VLOOKUP(RIGHT(A26,1),'Tabla Vencimiento'!$A$3:$G$12,7,0),IF(AND(C26="Bimestral",MONTH(TODAY())-1&lt;=8),VLOOKUP(RIGHT(A26,1),'Tabla Vencimiento'!$A$3:$I$12,9,0),IF(AND(C26="Bimestral",MONTH(TODAY())-1=10),VLOOKUP(RIGHT(A26,1),'Tabla Vencimiento'!$A$3:$K$12,11,0),IF(AND(C26="Bimestral",MONTH(TODAY())-1&lt;=12),VLOOKUP(RIGHT(A26,1),'Tabla Vencimiento'!$A$3:$M$12,13,0),IF(AND(C26="Cuatrimestral",MONTH(TODAY())-1&lt;=4),VLOOKUP(RIGHT(A26,1),'Tabla Vencimiento'!$A$3:$E$12,5,0),IF(AND(C26="Cuatrimestral",MONTH(TODAY())-1&lt;=8),VLOOKUP(RIGHT(A26,1),'Tabla Vencimiento'!$A$3:$I$12,9,0),IF(AND(C26="Cuatrimestral",MONTH(TODAY())-1&lt;=12),VLOOKUP(RIGHT(A26,1),'Tabla Vencimiento'!$A$3:$M$12,13,0),0))))))))))),0)</f>
        <v>0</v>
      </c>
      <c r="H26" s="57">
        <f ca="1">+IF(AND(D26="Tributación Simple",MONTH(TODAY())=2),VLOOKUP(RIGHT(A26,1),'Tabla Vencimiento'!$I$17:$J$26,2,0),0)</f>
        <v>0</v>
      </c>
      <c r="I26" s="56">
        <f ca="1">+IF(AND(D26="Tributación Simple",MONTH(TODAY())=2),VLOOKUP(RIGHT(A26,1),'Tabla Vencimiento'!$A$39:$G$48,2,0),+IF(AND(D26="Tributación Simple",MONTH(TODAY())=4),VLOOKUP(RIGHT(A26,1),'Tabla Vencimiento'!$A$39:$G$48,3,0),+IF(AND(D26="Tributación Simple",MONTH(TODAY())=6),VLOOKUP(RIGHT(A26,1),'Tabla Vencimiento'!$A$39:$G$48,4,0),+IF(AND(D26="Tributación Simple",MONTH(TODAY())=8),VLOOKUP(RIGHT(A26,1),'Tabla Vencimiento'!$A$39:$G$48,5,0),+IF(AND(D26="Tributación Simple",MONTH(TODAY())=10),VLOOKUP(RIGHT(A26,1),'Tabla Vencimiento'!$A$39:$G$48,6,0),+IF(AND(D26="Tributación Simple",MONTH(TODAY())=12),VLOOKUP(RIGHT(A26,1),'Tabla Vencimiento'!$A$39:$G$48,7,0),0))))))</f>
        <v>0</v>
      </c>
      <c r="J26" s="56">
        <f>+IF(AND(D26="Ordinario",E26="PN"),VLOOKUP(RIGHT(A26,2),'Tabla Vencimiento'!$I$40:$J$139,2,0),+IF(AND(D26="Ordinario",E26="PN"),VLOOKUP(RIGHT(A26,2),'Tabla Vencimiento'!$J$40:$J$139,2,0),+IF(AND(D26="Tributación Simple",E26="PN"),0,+IF(AND(D26="Tributación Simple",E26="PJ"),0,+IF(AND(RIGHT(A26,2)&gt;='Tabla Vencimiento'!$A$16,RIGHT(A26,2)&lt;='Tabla Vencimiento'!$B$16),'Tabla Vencimiento'!$C$16,IF(AND(RIGHT(A26,2)&gt;='Tabla Vencimiento'!$A$17,RIGHT(A26,2)&lt;='Tabla Vencimiento'!$B$17),'Tabla Vencimiento'!$C$17,IF(AND(RIGHT(A26,2)&gt;='Tabla Vencimiento'!$A$18,RIGHT(A26,2)&lt;='Tabla Vencimiento'!$B$18),'Tabla Vencimiento'!$C$18,IF(AND(RIGHT(A26,2)&gt;='Tabla Vencimiento'!$A$19,RIGHT(A26,2)&lt;='Tabla Vencimiento'!$B$19),'Tabla Vencimiento'!$C$19,IF(AND(RIGHT(A26,2)&gt;='Tabla Vencimiento'!$A$20,RIGHT(A26,2)&lt;='Tabla Vencimiento'!$B$20),'Tabla Vencimiento'!$C$20,IF(AND(RIGHT(A26,2)&gt;='Tabla Vencimiento'!$A$21,RIGHT(A26,2)&lt;='Tabla Vencimiento'!$B$21),'Tabla Vencimiento'!$C$21,IF(AND(RIGHT(A26,2)&gt;='Tabla Vencimiento'!$A$22,RIGHT(A26,2)&lt;='Tabla Vencimiento'!$B$22),'Tabla Vencimiento'!$C$22,IF(AND(RIGHT(A26,2)&gt;='Tabla Vencimiento'!$A$23,RIGHT(A26,2)&lt;='Tabla Vencimiento'!$B$23),'Tabla Vencimiento'!$C$23,IF(AND(RIGHT(A26,2)&gt;='Tabla Vencimiento'!$A$24,RIGHT(A26,2)&lt;='Tabla Vencimiento'!$B$24),'Tabla Vencimiento'!$C$24,IF(AND(RIGHT(A26,2)&gt;='Tabla Vencimiento'!$A$25,RIGHT(A26,2)&lt;='Tabla Vencimiento'!$B$25),'Tabla Vencimiento'!$C$25,IF(AND(RIGHT(A26,2)&gt;='Tabla Vencimiento'!$A$26,RIGHT(A26,2)&lt;='Tabla Vencimiento'!$B$26),'Tabla Vencimiento'!$C$26,IF(AND(RIGHT(A26,2)&gt;='Tabla Vencimiento'!$A$27,RIGHT(A26,2)&lt;='Tabla Vencimiento'!$B$27),'Tabla Vencimiento'!$C$27,IF(AND(RIGHT(A26,2)&gt;='Tabla Vencimiento'!$A$28,RIGHT(A26,2)&lt;='Tabla Vencimiento'!$B$28),'Tabla Vencimiento'!$C$28,IF(AND(RIGHT(A26,2)&gt;='Tabla Vencimiento'!$A$29,RIGHT(A26,2)&lt;='Tabla Vencimiento'!$B$29),'Tabla Vencimiento'!$C$29,IF(AND(RIGHT(A26,2)&gt;='Tabla Vencimiento'!$A$30,RIGHT(A26,2)&lt;='Tabla Vencimiento'!$B$30),'Tabla Vencimiento'!$C$30,IF(AND(RIGHT(A26,2)&gt;='Tabla Vencimiento'!$A$31,RIGHT(A26,2)&lt;='Tabla Vencimiento'!$B$31),'Tabla Vencimiento'!$C$31,IF(AND(RIGHT(A26,2)&gt;='Tabla Vencimiento'!$A$32,RIGHT(A26,2)&lt;='Tabla Vencimiento'!$B$32),'Tabla Vencimiento'!$C$32,IF(AND(RIGHT(A26,2)&gt;='Tabla Vencimiento'!$A$33,RIGHT(A26,2)&lt;='Tabla Vencimiento'!$B$33),'Tabla Vencimiento'!$C$33,IF(AND(RIGHT(A26,2)&gt;='Tabla Vencimiento'!$A$34,RIGHT(A26,2)&lt;='Tabla Vencimiento'!$B$34),'Tabla Vencimiento'!$C$34,IF(AND(RIGHT(A26,2)&gt;='Tabla Vencimiento'!$A$35),'Tabla Vencimiento'!$C$35,0))))))))))))))))))))))))</f>
        <v>0</v>
      </c>
      <c r="K26" s="56">
        <f>+IF((D26="Tributación Simple"),VLOOKUP(RIGHT(A26,1),'Tabla Vencimiento'!$F$17:$G$26,2,0),0)</f>
        <v>0</v>
      </c>
      <c r="L26" s="56">
        <f>+IF(AND(RIGHT(A26,2) &gt;='Tabla Vencimiento'!$A$16,RIGHT(A26,2) &lt;='Tabla Vencimiento'!$B$16),'Tabla Vencimiento'!$D$16,IF(AND(RIGHT(A26,2) &gt;='Tabla Vencimiento'!$A$17,RIGHT(A26,2) &lt;='Tabla Vencimiento'!$B$17),'Tabla Vencimiento'!$D$17,IF(AND(RIGHT(A26,2) &gt;='Tabla Vencimiento'!$A$18,RIGHT(A26,2) &lt;='Tabla Vencimiento'!$B$18),'Tabla Vencimiento'!$D$18,IF(AND(RIGHT(A26,2) &gt;='Tabla Vencimiento'!$A$19,RIGHT(A26,2) &lt;='Tabla Vencimiento'!$B$19),'Tabla Vencimiento'!$D$19,IF(AND(RIGHT(A26,2) &gt;='Tabla Vencimiento'!$A$20,RIGHT(A26,2) &lt;='Tabla Vencimiento'!$B$20),'Tabla Vencimiento'!$D$20,IF(AND(RIGHT(A26,2) &gt;='Tabla Vencimiento'!$A$21,RIGHT(A26,2) &lt;='Tabla Vencimiento'!$B$21),'Tabla Vencimiento'!$D$21,IF(AND(RIGHT(A26,2) &gt;='Tabla Vencimiento'!$A$22,RIGHT(A26,2) &lt;='Tabla Vencimiento'!$B$22),'Tabla Vencimiento'!$D$22,IF(AND(RIGHT(A26,2) &gt;='Tabla Vencimiento'!$A$23,RIGHT(A26,2) &lt;='Tabla Vencimiento'!$B$23),'Tabla Vencimiento'!$D$23,IF(AND(RIGHT(A26,2) &gt;='Tabla Vencimiento'!$A$24,RIGHT(A26,2) &lt;='Tabla Vencimiento'!$B$24),'Tabla Vencimiento'!$D$24,IF(AND(RIGHT(A26,2) &gt;='Tabla Vencimiento'!$A$25,RIGHT(A26,2) &lt;='Tabla Vencimiento'!$B$25),'Tabla Vencimiento'!$D$25,IF(AND(RIGHT(A26,2) &gt;='Tabla Vencimiento'!$A$26,RIGHT(A26,2) &lt;='Tabla Vencimiento'!$B$26),'Tabla Vencimiento'!$D$26,IF(AND(RIGHT(A26,2) &gt;='Tabla Vencimiento'!$A$27,RIGHT(A26,2) &lt;='Tabla Vencimiento'!$B$27),'Tabla Vencimiento'!$D$27,IF(AND(RIGHT(A26,2) &gt;='Tabla Vencimiento'!$A$28,RIGHT(A26,2) &lt;='Tabla Vencimiento'!$B$28),'Tabla Vencimiento'!$D$28,IF(AND(RIGHT(A26,2) &gt;='Tabla Vencimiento'!$A$29,RIGHT(A26,2) &lt;='Tabla Vencimiento'!$B$29),'Tabla Vencimiento'!$D$29,IF(AND(RIGHT(A26,2) &gt;='Tabla Vencimiento'!$A$30,RIGHT(A26,2) &lt;='Tabla Vencimiento'!$B$30),'Tabla Vencimiento'!$D$30,IF(AND(RIGHT(A26,2) &gt;='Tabla Vencimiento'!$A$31,RIGHT(A26,2) &lt;='Tabla Vencimiento'!$B$31),'Tabla Vencimiento'!$D$31,IF(AND(RIGHT(A26,2) &gt;='Tabla Vencimiento'!$A$32,RIGHT(A26,2) &lt;='Tabla Vencimiento'!$B$32),'Tabla Vencimiento'!$D$32,IF(AND(RIGHT(A26,2) &gt;='Tabla Vencimiento'!$A$33,RIGHT(A26,2) &lt;='Tabla Vencimiento'!$B$33),'Tabla Vencimiento'!$D$33,IF(AND(RIGHT(A26,2) &gt;='Tabla Vencimiento'!$A$34,RIGHT(A26,2) &lt;='Tabla Vencimiento'!$B$34),'Tabla Vencimiento'!$D$34,IF(AND(RIGHT(A26,2) &gt;='Tabla Vencimiento'!$A$35),'Tabla Vencimiento'!$D$35,0))))))))))))))))))))</f>
        <v>0</v>
      </c>
    </row>
    <row r="27" spans="1:12" x14ac:dyDescent="0.45">
      <c r="A27" s="52"/>
      <c r="B27" s="52"/>
      <c r="C27" s="52"/>
      <c r="D27" s="52"/>
      <c r="E27" s="52"/>
      <c r="F27" s="56" t="b">
        <f ca="1">IFERROR(+IF(MONTH(TODAY())=2,VLOOKUP(RIGHT(A27,1),'Tabla Vencimiento'!$A$3:$B$12,2,IF(MONTH(TODAY())=3,VLOOKUP(RIGHT(A27,1),'Tabla Vencimiento'!$A$3:$C$12,3),IF(MONTH(TODAY())=4,VLOOKUP(RIGHT(A27,1),'Tabla Vencimiento'!$A$3:$D$12,4),IF(MONTH(TODAY())=5,VLOOKUP(RIGHT(A27,1),'Tabla Vencimiento'!$A$3:$E$12,5,0),IF(MONTH(TODAY())=6,VLOOKUP(RIGHT(A27,1),'Tabla Vencimiento'!$A$3:$F$12,6),IF(MONTH(TODAY())=7,VLOOKUP(RIGHT(A27,1),'Tabla Vencimiento'!$A$3:$G$12,7),IF(MONTH(TODAY())=8,VLOOKUP(RIGHT(A27,1),'Tabla Vencimiento'!$A$3:$H$12,8),IF(MONTH(TODAY())=9,VLOOKUP(RIGHT(A27,1),'Tabla Vencimiento'!$A$3:$I$12,9),IF(MONTH(TODAY())=10,VLOOKUP(RIGHT(A27,1),'Tabla Vencimiento'!$A$3:$J$12,10),IF(MONTH(TODAY())=11,VLOOKUP(RIGHT(A27,1),'Tabla Vencimiento'!$A$3:$K$12,11),IF(MONTH(TODAY())=12,VLOOKUP(RIGHT(A27,1),'Tabla Vencimiento'!$A$3:$L$12,12),0)))))))))))),0)</f>
        <v>0</v>
      </c>
      <c r="G27" s="56">
        <f ca="1">IFERROR(+IF(C27="No Responsable", 0,+IF(D27="Tributación Simple", 0,+IF(AND(C27="Bimestral",MONTH(TODAY())-1&lt;=2),VLOOKUP(RIGHT(A27,1),'Tabla Vencimiento'!$A$3:$C$12,3,0),IF(AND(C27="Bimestral",MONTH(TODAY())-1&lt;=4),VLOOKUP(RIGHT(A27,1),'Tabla Vencimiento'!$A$3:$E$12,5,0),IF(AND(C27="Bimestral",MONTH(TODAY())-1&lt;=6),VLOOKUP(RIGHT(A27,1),'Tabla Vencimiento'!$A$3:$G$12,7,0),IF(AND(C27="Bimestral",MONTH(TODAY())-1&lt;=8),VLOOKUP(RIGHT(A27,1),'Tabla Vencimiento'!$A$3:$I$12,9,0),IF(AND(C27="Bimestral",MONTH(TODAY())-1=10),VLOOKUP(RIGHT(A27,1),'Tabla Vencimiento'!$A$3:$K$12,11,0),IF(AND(C27="Bimestral",MONTH(TODAY())-1&lt;=12),VLOOKUP(RIGHT(A27,1),'Tabla Vencimiento'!$A$3:$M$12,13,0),IF(AND(C27="Cuatrimestral",MONTH(TODAY())-1&lt;=4),VLOOKUP(RIGHT(A27,1),'Tabla Vencimiento'!$A$3:$E$12,5,0),IF(AND(C27="Cuatrimestral",MONTH(TODAY())-1&lt;=8),VLOOKUP(RIGHT(A27,1),'Tabla Vencimiento'!$A$3:$I$12,9,0),IF(AND(C27="Cuatrimestral",MONTH(TODAY())-1&lt;=12),VLOOKUP(RIGHT(A27,1),'Tabla Vencimiento'!$A$3:$M$12,13,0),0))))))))))),0)</f>
        <v>0</v>
      </c>
      <c r="H27" s="57">
        <f ca="1">+IF(AND(D27="Tributación Simple",MONTH(TODAY())=2),VLOOKUP(RIGHT(A27,1),'Tabla Vencimiento'!$I$17:$J$26,2,0),0)</f>
        <v>0</v>
      </c>
      <c r="I27" s="56">
        <f ca="1">+IF(AND(D27="Tributación Simple",MONTH(TODAY())=2),VLOOKUP(RIGHT(A27,1),'Tabla Vencimiento'!$A$39:$G$48,2,0),+IF(AND(D27="Tributación Simple",MONTH(TODAY())=4),VLOOKUP(RIGHT(A27,1),'Tabla Vencimiento'!$A$39:$G$48,3,0),+IF(AND(D27="Tributación Simple",MONTH(TODAY())=6),VLOOKUP(RIGHT(A27,1),'Tabla Vencimiento'!$A$39:$G$48,4,0),+IF(AND(D27="Tributación Simple",MONTH(TODAY())=8),VLOOKUP(RIGHT(A27,1),'Tabla Vencimiento'!$A$39:$G$48,5,0),+IF(AND(D27="Tributación Simple",MONTH(TODAY())=10),VLOOKUP(RIGHT(A27,1),'Tabla Vencimiento'!$A$39:$G$48,6,0),+IF(AND(D27="Tributación Simple",MONTH(TODAY())=12),VLOOKUP(RIGHT(A27,1),'Tabla Vencimiento'!$A$39:$G$48,7,0),0))))))</f>
        <v>0</v>
      </c>
      <c r="J27" s="56">
        <f>+IF(AND(D27="Ordinario",E27="PN"),VLOOKUP(RIGHT(A27,2),'Tabla Vencimiento'!$I$40:$J$139,2,0),+IF(AND(D27="Ordinario",E27="PN"),VLOOKUP(RIGHT(A27,2),'Tabla Vencimiento'!$J$40:$J$139,2,0),+IF(AND(D27="Tributación Simple",E27="PN"),0,+IF(AND(D27="Tributación Simple",E27="PJ"),0,+IF(AND(RIGHT(A27,2)&gt;='Tabla Vencimiento'!$A$16,RIGHT(A27,2)&lt;='Tabla Vencimiento'!$B$16),'Tabla Vencimiento'!$C$16,IF(AND(RIGHT(A27,2)&gt;='Tabla Vencimiento'!$A$17,RIGHT(A27,2)&lt;='Tabla Vencimiento'!$B$17),'Tabla Vencimiento'!$C$17,IF(AND(RIGHT(A27,2)&gt;='Tabla Vencimiento'!$A$18,RIGHT(A27,2)&lt;='Tabla Vencimiento'!$B$18),'Tabla Vencimiento'!$C$18,IF(AND(RIGHT(A27,2)&gt;='Tabla Vencimiento'!$A$19,RIGHT(A27,2)&lt;='Tabla Vencimiento'!$B$19),'Tabla Vencimiento'!$C$19,IF(AND(RIGHT(A27,2)&gt;='Tabla Vencimiento'!$A$20,RIGHT(A27,2)&lt;='Tabla Vencimiento'!$B$20),'Tabla Vencimiento'!$C$20,IF(AND(RIGHT(A27,2)&gt;='Tabla Vencimiento'!$A$21,RIGHT(A27,2)&lt;='Tabla Vencimiento'!$B$21),'Tabla Vencimiento'!$C$21,IF(AND(RIGHT(A27,2)&gt;='Tabla Vencimiento'!$A$22,RIGHT(A27,2)&lt;='Tabla Vencimiento'!$B$22),'Tabla Vencimiento'!$C$22,IF(AND(RIGHT(A27,2)&gt;='Tabla Vencimiento'!$A$23,RIGHT(A27,2)&lt;='Tabla Vencimiento'!$B$23),'Tabla Vencimiento'!$C$23,IF(AND(RIGHT(A27,2)&gt;='Tabla Vencimiento'!$A$24,RIGHT(A27,2)&lt;='Tabla Vencimiento'!$B$24),'Tabla Vencimiento'!$C$24,IF(AND(RIGHT(A27,2)&gt;='Tabla Vencimiento'!$A$25,RIGHT(A27,2)&lt;='Tabla Vencimiento'!$B$25),'Tabla Vencimiento'!$C$25,IF(AND(RIGHT(A27,2)&gt;='Tabla Vencimiento'!$A$26,RIGHT(A27,2)&lt;='Tabla Vencimiento'!$B$26),'Tabla Vencimiento'!$C$26,IF(AND(RIGHT(A27,2)&gt;='Tabla Vencimiento'!$A$27,RIGHT(A27,2)&lt;='Tabla Vencimiento'!$B$27),'Tabla Vencimiento'!$C$27,IF(AND(RIGHT(A27,2)&gt;='Tabla Vencimiento'!$A$28,RIGHT(A27,2)&lt;='Tabla Vencimiento'!$B$28),'Tabla Vencimiento'!$C$28,IF(AND(RIGHT(A27,2)&gt;='Tabla Vencimiento'!$A$29,RIGHT(A27,2)&lt;='Tabla Vencimiento'!$B$29),'Tabla Vencimiento'!$C$29,IF(AND(RIGHT(A27,2)&gt;='Tabla Vencimiento'!$A$30,RIGHT(A27,2)&lt;='Tabla Vencimiento'!$B$30),'Tabla Vencimiento'!$C$30,IF(AND(RIGHT(A27,2)&gt;='Tabla Vencimiento'!$A$31,RIGHT(A27,2)&lt;='Tabla Vencimiento'!$B$31),'Tabla Vencimiento'!$C$31,IF(AND(RIGHT(A27,2)&gt;='Tabla Vencimiento'!$A$32,RIGHT(A27,2)&lt;='Tabla Vencimiento'!$B$32),'Tabla Vencimiento'!$C$32,IF(AND(RIGHT(A27,2)&gt;='Tabla Vencimiento'!$A$33,RIGHT(A27,2)&lt;='Tabla Vencimiento'!$B$33),'Tabla Vencimiento'!$C$33,IF(AND(RIGHT(A27,2)&gt;='Tabla Vencimiento'!$A$34,RIGHT(A27,2)&lt;='Tabla Vencimiento'!$B$34),'Tabla Vencimiento'!$C$34,IF(AND(RIGHT(A27,2)&gt;='Tabla Vencimiento'!$A$35),'Tabla Vencimiento'!$C$35,0))))))))))))))))))))))))</f>
        <v>0</v>
      </c>
      <c r="K27" s="56">
        <f>+IF((D27="Tributación Simple"),VLOOKUP(RIGHT(A27,1),'Tabla Vencimiento'!$F$17:$G$26,2,0),0)</f>
        <v>0</v>
      </c>
      <c r="L27" s="56">
        <f>+IF(AND(RIGHT(A27,2) &gt;='Tabla Vencimiento'!$A$16,RIGHT(A27,2) &lt;='Tabla Vencimiento'!$B$16),'Tabla Vencimiento'!$D$16,IF(AND(RIGHT(A27,2) &gt;='Tabla Vencimiento'!$A$17,RIGHT(A27,2) &lt;='Tabla Vencimiento'!$B$17),'Tabla Vencimiento'!$D$17,IF(AND(RIGHT(A27,2) &gt;='Tabla Vencimiento'!$A$18,RIGHT(A27,2) &lt;='Tabla Vencimiento'!$B$18),'Tabla Vencimiento'!$D$18,IF(AND(RIGHT(A27,2) &gt;='Tabla Vencimiento'!$A$19,RIGHT(A27,2) &lt;='Tabla Vencimiento'!$B$19),'Tabla Vencimiento'!$D$19,IF(AND(RIGHT(A27,2) &gt;='Tabla Vencimiento'!$A$20,RIGHT(A27,2) &lt;='Tabla Vencimiento'!$B$20),'Tabla Vencimiento'!$D$20,IF(AND(RIGHT(A27,2) &gt;='Tabla Vencimiento'!$A$21,RIGHT(A27,2) &lt;='Tabla Vencimiento'!$B$21),'Tabla Vencimiento'!$D$21,IF(AND(RIGHT(A27,2) &gt;='Tabla Vencimiento'!$A$22,RIGHT(A27,2) &lt;='Tabla Vencimiento'!$B$22),'Tabla Vencimiento'!$D$22,IF(AND(RIGHT(A27,2) &gt;='Tabla Vencimiento'!$A$23,RIGHT(A27,2) &lt;='Tabla Vencimiento'!$B$23),'Tabla Vencimiento'!$D$23,IF(AND(RIGHT(A27,2) &gt;='Tabla Vencimiento'!$A$24,RIGHT(A27,2) &lt;='Tabla Vencimiento'!$B$24),'Tabla Vencimiento'!$D$24,IF(AND(RIGHT(A27,2) &gt;='Tabla Vencimiento'!$A$25,RIGHT(A27,2) &lt;='Tabla Vencimiento'!$B$25),'Tabla Vencimiento'!$D$25,IF(AND(RIGHT(A27,2) &gt;='Tabla Vencimiento'!$A$26,RIGHT(A27,2) &lt;='Tabla Vencimiento'!$B$26),'Tabla Vencimiento'!$D$26,IF(AND(RIGHT(A27,2) &gt;='Tabla Vencimiento'!$A$27,RIGHT(A27,2) &lt;='Tabla Vencimiento'!$B$27),'Tabla Vencimiento'!$D$27,IF(AND(RIGHT(A27,2) &gt;='Tabla Vencimiento'!$A$28,RIGHT(A27,2) &lt;='Tabla Vencimiento'!$B$28),'Tabla Vencimiento'!$D$28,IF(AND(RIGHT(A27,2) &gt;='Tabla Vencimiento'!$A$29,RIGHT(A27,2) &lt;='Tabla Vencimiento'!$B$29),'Tabla Vencimiento'!$D$29,IF(AND(RIGHT(A27,2) &gt;='Tabla Vencimiento'!$A$30,RIGHT(A27,2) &lt;='Tabla Vencimiento'!$B$30),'Tabla Vencimiento'!$D$30,IF(AND(RIGHT(A27,2) &gt;='Tabla Vencimiento'!$A$31,RIGHT(A27,2) &lt;='Tabla Vencimiento'!$B$31),'Tabla Vencimiento'!$D$31,IF(AND(RIGHT(A27,2) &gt;='Tabla Vencimiento'!$A$32,RIGHT(A27,2) &lt;='Tabla Vencimiento'!$B$32),'Tabla Vencimiento'!$D$32,IF(AND(RIGHT(A27,2) &gt;='Tabla Vencimiento'!$A$33,RIGHT(A27,2) &lt;='Tabla Vencimiento'!$B$33),'Tabla Vencimiento'!$D$33,IF(AND(RIGHT(A27,2) &gt;='Tabla Vencimiento'!$A$34,RIGHT(A27,2) &lt;='Tabla Vencimiento'!$B$34),'Tabla Vencimiento'!$D$34,IF(AND(RIGHT(A27,2) &gt;='Tabla Vencimiento'!$A$35),'Tabla Vencimiento'!$D$35,0))))))))))))))))))))</f>
        <v>0</v>
      </c>
    </row>
    <row r="28" spans="1:12" x14ac:dyDescent="0.45">
      <c r="A28" s="52"/>
      <c r="B28" s="52"/>
      <c r="C28" s="52"/>
      <c r="D28" s="52"/>
      <c r="E28" s="52"/>
      <c r="F28" s="56" t="b">
        <f ca="1">IFERROR(+IF(MONTH(TODAY())=2,VLOOKUP(RIGHT(A28,1),'Tabla Vencimiento'!$A$3:$B$12,2,IF(MONTH(TODAY())=3,VLOOKUP(RIGHT(A28,1),'Tabla Vencimiento'!$A$3:$C$12,3),IF(MONTH(TODAY())=4,VLOOKUP(RIGHT(A28,1),'Tabla Vencimiento'!$A$3:$D$12,4),IF(MONTH(TODAY())=5,VLOOKUP(RIGHT(A28,1),'Tabla Vencimiento'!$A$3:$E$12,5,0),IF(MONTH(TODAY())=6,VLOOKUP(RIGHT(A28,1),'Tabla Vencimiento'!$A$3:$F$12,6),IF(MONTH(TODAY())=7,VLOOKUP(RIGHT(A28,1),'Tabla Vencimiento'!$A$3:$G$12,7),IF(MONTH(TODAY())=8,VLOOKUP(RIGHT(A28,1),'Tabla Vencimiento'!$A$3:$H$12,8),IF(MONTH(TODAY())=9,VLOOKUP(RIGHT(A28,1),'Tabla Vencimiento'!$A$3:$I$12,9),IF(MONTH(TODAY())=10,VLOOKUP(RIGHT(A28,1),'Tabla Vencimiento'!$A$3:$J$12,10),IF(MONTH(TODAY())=11,VLOOKUP(RIGHT(A28,1),'Tabla Vencimiento'!$A$3:$K$12,11),IF(MONTH(TODAY())=12,VLOOKUP(RIGHT(A28,1),'Tabla Vencimiento'!$A$3:$L$12,12),0)))))))))))),0)</f>
        <v>0</v>
      </c>
      <c r="G28" s="56">
        <f ca="1">IFERROR(+IF(C28="No Responsable", 0,+IF(D28="Tributación Simple", 0,+IF(AND(C28="Bimestral",MONTH(TODAY())-1&lt;=2),VLOOKUP(RIGHT(A28,1),'Tabla Vencimiento'!$A$3:$C$12,3,0),IF(AND(C28="Bimestral",MONTH(TODAY())-1&lt;=4),VLOOKUP(RIGHT(A28,1),'Tabla Vencimiento'!$A$3:$E$12,5,0),IF(AND(C28="Bimestral",MONTH(TODAY())-1&lt;=6),VLOOKUP(RIGHT(A28,1),'Tabla Vencimiento'!$A$3:$G$12,7,0),IF(AND(C28="Bimestral",MONTH(TODAY())-1&lt;=8),VLOOKUP(RIGHT(A28,1),'Tabla Vencimiento'!$A$3:$I$12,9,0),IF(AND(C28="Bimestral",MONTH(TODAY())-1=10),VLOOKUP(RIGHT(A28,1),'Tabla Vencimiento'!$A$3:$K$12,11,0),IF(AND(C28="Bimestral",MONTH(TODAY())-1&lt;=12),VLOOKUP(RIGHT(A28,1),'Tabla Vencimiento'!$A$3:$M$12,13,0),IF(AND(C28="Cuatrimestral",MONTH(TODAY())-1&lt;=4),VLOOKUP(RIGHT(A28,1),'Tabla Vencimiento'!$A$3:$E$12,5,0),IF(AND(C28="Cuatrimestral",MONTH(TODAY())-1&lt;=8),VLOOKUP(RIGHT(A28,1),'Tabla Vencimiento'!$A$3:$I$12,9,0),IF(AND(C28="Cuatrimestral",MONTH(TODAY())-1&lt;=12),VLOOKUP(RIGHT(A28,1),'Tabla Vencimiento'!$A$3:$M$12,13,0),0))))))))))),0)</f>
        <v>0</v>
      </c>
      <c r="H28" s="57">
        <f ca="1">+IF(AND(D28="Tributación Simple",MONTH(TODAY())=2),VLOOKUP(RIGHT(A28,1),'Tabla Vencimiento'!$I$17:$J$26,2,0),0)</f>
        <v>0</v>
      </c>
      <c r="I28" s="56">
        <f ca="1">+IF(AND(D28="Tributación Simple",MONTH(TODAY())=2),VLOOKUP(RIGHT(A28,1),'Tabla Vencimiento'!$A$39:$G$48,2,0),+IF(AND(D28="Tributación Simple",MONTH(TODAY())=4),VLOOKUP(RIGHT(A28,1),'Tabla Vencimiento'!$A$39:$G$48,3,0),+IF(AND(D28="Tributación Simple",MONTH(TODAY())=6),VLOOKUP(RIGHT(A28,1),'Tabla Vencimiento'!$A$39:$G$48,4,0),+IF(AND(D28="Tributación Simple",MONTH(TODAY())=8),VLOOKUP(RIGHT(A28,1),'Tabla Vencimiento'!$A$39:$G$48,5,0),+IF(AND(D28="Tributación Simple",MONTH(TODAY())=10),VLOOKUP(RIGHT(A28,1),'Tabla Vencimiento'!$A$39:$G$48,6,0),+IF(AND(D28="Tributación Simple",MONTH(TODAY())=12),VLOOKUP(RIGHT(A28,1),'Tabla Vencimiento'!$A$39:$G$48,7,0),0))))))</f>
        <v>0</v>
      </c>
      <c r="J28" s="56">
        <f>+IF(AND(D28="Ordinario",E28="PN"),VLOOKUP(RIGHT(A28,2),'Tabla Vencimiento'!$I$40:$J$139,2,0),+IF(AND(D28="Ordinario",E28="PN"),VLOOKUP(RIGHT(A28,2),'Tabla Vencimiento'!$J$40:$J$139,2,0),+IF(AND(D28="Tributación Simple",E28="PN"),0,+IF(AND(D28="Tributación Simple",E28="PJ"),0,+IF(AND(RIGHT(A28,2)&gt;='Tabla Vencimiento'!$A$16,RIGHT(A28,2)&lt;='Tabla Vencimiento'!$B$16),'Tabla Vencimiento'!$C$16,IF(AND(RIGHT(A28,2)&gt;='Tabla Vencimiento'!$A$17,RIGHT(A28,2)&lt;='Tabla Vencimiento'!$B$17),'Tabla Vencimiento'!$C$17,IF(AND(RIGHT(A28,2)&gt;='Tabla Vencimiento'!$A$18,RIGHT(A28,2)&lt;='Tabla Vencimiento'!$B$18),'Tabla Vencimiento'!$C$18,IF(AND(RIGHT(A28,2)&gt;='Tabla Vencimiento'!$A$19,RIGHT(A28,2)&lt;='Tabla Vencimiento'!$B$19),'Tabla Vencimiento'!$C$19,IF(AND(RIGHT(A28,2)&gt;='Tabla Vencimiento'!$A$20,RIGHT(A28,2)&lt;='Tabla Vencimiento'!$B$20),'Tabla Vencimiento'!$C$20,IF(AND(RIGHT(A28,2)&gt;='Tabla Vencimiento'!$A$21,RIGHT(A28,2)&lt;='Tabla Vencimiento'!$B$21),'Tabla Vencimiento'!$C$21,IF(AND(RIGHT(A28,2)&gt;='Tabla Vencimiento'!$A$22,RIGHT(A28,2)&lt;='Tabla Vencimiento'!$B$22),'Tabla Vencimiento'!$C$22,IF(AND(RIGHT(A28,2)&gt;='Tabla Vencimiento'!$A$23,RIGHT(A28,2)&lt;='Tabla Vencimiento'!$B$23),'Tabla Vencimiento'!$C$23,IF(AND(RIGHT(A28,2)&gt;='Tabla Vencimiento'!$A$24,RIGHT(A28,2)&lt;='Tabla Vencimiento'!$B$24),'Tabla Vencimiento'!$C$24,IF(AND(RIGHT(A28,2)&gt;='Tabla Vencimiento'!$A$25,RIGHT(A28,2)&lt;='Tabla Vencimiento'!$B$25),'Tabla Vencimiento'!$C$25,IF(AND(RIGHT(A28,2)&gt;='Tabla Vencimiento'!$A$26,RIGHT(A28,2)&lt;='Tabla Vencimiento'!$B$26),'Tabla Vencimiento'!$C$26,IF(AND(RIGHT(A28,2)&gt;='Tabla Vencimiento'!$A$27,RIGHT(A28,2)&lt;='Tabla Vencimiento'!$B$27),'Tabla Vencimiento'!$C$27,IF(AND(RIGHT(A28,2)&gt;='Tabla Vencimiento'!$A$28,RIGHT(A28,2)&lt;='Tabla Vencimiento'!$B$28),'Tabla Vencimiento'!$C$28,IF(AND(RIGHT(A28,2)&gt;='Tabla Vencimiento'!$A$29,RIGHT(A28,2)&lt;='Tabla Vencimiento'!$B$29),'Tabla Vencimiento'!$C$29,IF(AND(RIGHT(A28,2)&gt;='Tabla Vencimiento'!$A$30,RIGHT(A28,2)&lt;='Tabla Vencimiento'!$B$30),'Tabla Vencimiento'!$C$30,IF(AND(RIGHT(A28,2)&gt;='Tabla Vencimiento'!$A$31,RIGHT(A28,2)&lt;='Tabla Vencimiento'!$B$31),'Tabla Vencimiento'!$C$31,IF(AND(RIGHT(A28,2)&gt;='Tabla Vencimiento'!$A$32,RIGHT(A28,2)&lt;='Tabla Vencimiento'!$B$32),'Tabla Vencimiento'!$C$32,IF(AND(RIGHT(A28,2)&gt;='Tabla Vencimiento'!$A$33,RIGHT(A28,2)&lt;='Tabla Vencimiento'!$B$33),'Tabla Vencimiento'!$C$33,IF(AND(RIGHT(A28,2)&gt;='Tabla Vencimiento'!$A$34,RIGHT(A28,2)&lt;='Tabla Vencimiento'!$B$34),'Tabla Vencimiento'!$C$34,IF(AND(RIGHT(A28,2)&gt;='Tabla Vencimiento'!$A$35),'Tabla Vencimiento'!$C$35,0))))))))))))))))))))))))</f>
        <v>0</v>
      </c>
      <c r="K28" s="56">
        <f>+IF((D28="Tributación Simple"),VLOOKUP(RIGHT(A28,1),'Tabla Vencimiento'!$F$17:$G$26,2,0),0)</f>
        <v>0</v>
      </c>
      <c r="L28" s="56">
        <f>+IF(AND(RIGHT(A28,2) &gt;='Tabla Vencimiento'!$A$16,RIGHT(A28,2) &lt;='Tabla Vencimiento'!$B$16),'Tabla Vencimiento'!$D$16,IF(AND(RIGHT(A28,2) &gt;='Tabla Vencimiento'!$A$17,RIGHT(A28,2) &lt;='Tabla Vencimiento'!$B$17),'Tabla Vencimiento'!$D$17,IF(AND(RIGHT(A28,2) &gt;='Tabla Vencimiento'!$A$18,RIGHT(A28,2) &lt;='Tabla Vencimiento'!$B$18),'Tabla Vencimiento'!$D$18,IF(AND(RIGHT(A28,2) &gt;='Tabla Vencimiento'!$A$19,RIGHT(A28,2) &lt;='Tabla Vencimiento'!$B$19),'Tabla Vencimiento'!$D$19,IF(AND(RIGHT(A28,2) &gt;='Tabla Vencimiento'!$A$20,RIGHT(A28,2) &lt;='Tabla Vencimiento'!$B$20),'Tabla Vencimiento'!$D$20,IF(AND(RIGHT(A28,2) &gt;='Tabla Vencimiento'!$A$21,RIGHT(A28,2) &lt;='Tabla Vencimiento'!$B$21),'Tabla Vencimiento'!$D$21,IF(AND(RIGHT(A28,2) &gt;='Tabla Vencimiento'!$A$22,RIGHT(A28,2) &lt;='Tabla Vencimiento'!$B$22),'Tabla Vencimiento'!$D$22,IF(AND(RIGHT(A28,2) &gt;='Tabla Vencimiento'!$A$23,RIGHT(A28,2) &lt;='Tabla Vencimiento'!$B$23),'Tabla Vencimiento'!$D$23,IF(AND(RIGHT(A28,2) &gt;='Tabla Vencimiento'!$A$24,RIGHT(A28,2) &lt;='Tabla Vencimiento'!$B$24),'Tabla Vencimiento'!$D$24,IF(AND(RIGHT(A28,2) &gt;='Tabla Vencimiento'!$A$25,RIGHT(A28,2) &lt;='Tabla Vencimiento'!$B$25),'Tabla Vencimiento'!$D$25,IF(AND(RIGHT(A28,2) &gt;='Tabla Vencimiento'!$A$26,RIGHT(A28,2) &lt;='Tabla Vencimiento'!$B$26),'Tabla Vencimiento'!$D$26,IF(AND(RIGHT(A28,2) &gt;='Tabla Vencimiento'!$A$27,RIGHT(A28,2) &lt;='Tabla Vencimiento'!$B$27),'Tabla Vencimiento'!$D$27,IF(AND(RIGHT(A28,2) &gt;='Tabla Vencimiento'!$A$28,RIGHT(A28,2) &lt;='Tabla Vencimiento'!$B$28),'Tabla Vencimiento'!$D$28,IF(AND(RIGHT(A28,2) &gt;='Tabla Vencimiento'!$A$29,RIGHT(A28,2) &lt;='Tabla Vencimiento'!$B$29),'Tabla Vencimiento'!$D$29,IF(AND(RIGHT(A28,2) &gt;='Tabla Vencimiento'!$A$30,RIGHT(A28,2) &lt;='Tabla Vencimiento'!$B$30),'Tabla Vencimiento'!$D$30,IF(AND(RIGHT(A28,2) &gt;='Tabla Vencimiento'!$A$31,RIGHT(A28,2) &lt;='Tabla Vencimiento'!$B$31),'Tabla Vencimiento'!$D$31,IF(AND(RIGHT(A28,2) &gt;='Tabla Vencimiento'!$A$32,RIGHT(A28,2) &lt;='Tabla Vencimiento'!$B$32),'Tabla Vencimiento'!$D$32,IF(AND(RIGHT(A28,2) &gt;='Tabla Vencimiento'!$A$33,RIGHT(A28,2) &lt;='Tabla Vencimiento'!$B$33),'Tabla Vencimiento'!$D$33,IF(AND(RIGHT(A28,2) &gt;='Tabla Vencimiento'!$A$34,RIGHT(A28,2) &lt;='Tabla Vencimiento'!$B$34),'Tabla Vencimiento'!$D$34,IF(AND(RIGHT(A28,2) &gt;='Tabla Vencimiento'!$A$35),'Tabla Vencimiento'!$D$35,0))))))))))))))))))))</f>
        <v>0</v>
      </c>
    </row>
    <row r="29" spans="1:12" x14ac:dyDescent="0.45">
      <c r="A29" s="52"/>
      <c r="B29" s="52"/>
      <c r="C29" s="52"/>
      <c r="D29" s="52"/>
      <c r="E29" s="52"/>
      <c r="F29" s="56" t="b">
        <f ca="1">IFERROR(+IF(MONTH(TODAY())=2,VLOOKUP(RIGHT(A29,1),'Tabla Vencimiento'!$A$3:$B$12,2,IF(MONTH(TODAY())=3,VLOOKUP(RIGHT(A29,1),'Tabla Vencimiento'!$A$3:$C$12,3),IF(MONTH(TODAY())=4,VLOOKUP(RIGHT(A29,1),'Tabla Vencimiento'!$A$3:$D$12,4),IF(MONTH(TODAY())=5,VLOOKUP(RIGHT(A29,1),'Tabla Vencimiento'!$A$3:$E$12,5,0),IF(MONTH(TODAY())=6,VLOOKUP(RIGHT(A29,1),'Tabla Vencimiento'!$A$3:$F$12,6),IF(MONTH(TODAY())=7,VLOOKUP(RIGHT(A29,1),'Tabla Vencimiento'!$A$3:$G$12,7),IF(MONTH(TODAY())=8,VLOOKUP(RIGHT(A29,1),'Tabla Vencimiento'!$A$3:$H$12,8),IF(MONTH(TODAY())=9,VLOOKUP(RIGHT(A29,1),'Tabla Vencimiento'!$A$3:$I$12,9),IF(MONTH(TODAY())=10,VLOOKUP(RIGHT(A29,1),'Tabla Vencimiento'!$A$3:$J$12,10),IF(MONTH(TODAY())=11,VLOOKUP(RIGHT(A29,1),'Tabla Vencimiento'!$A$3:$K$12,11),IF(MONTH(TODAY())=12,VLOOKUP(RIGHT(A29,1),'Tabla Vencimiento'!$A$3:$L$12,12),0)))))))))))),0)</f>
        <v>0</v>
      </c>
      <c r="G29" s="56">
        <f ca="1">IFERROR(+IF(C29="No Responsable", 0,+IF(D29="Tributación Simple", 0,+IF(AND(C29="Bimestral",MONTH(TODAY())-1&lt;=2),VLOOKUP(RIGHT(A29,1),'Tabla Vencimiento'!$A$3:$C$12,3,0),IF(AND(C29="Bimestral",MONTH(TODAY())-1&lt;=4),VLOOKUP(RIGHT(A29,1),'Tabla Vencimiento'!$A$3:$E$12,5,0),IF(AND(C29="Bimestral",MONTH(TODAY())-1&lt;=6),VLOOKUP(RIGHT(A29,1),'Tabla Vencimiento'!$A$3:$G$12,7,0),IF(AND(C29="Bimestral",MONTH(TODAY())-1&lt;=8),VLOOKUP(RIGHT(A29,1),'Tabla Vencimiento'!$A$3:$I$12,9,0),IF(AND(C29="Bimestral",MONTH(TODAY())-1=10),VLOOKUP(RIGHT(A29,1),'Tabla Vencimiento'!$A$3:$K$12,11,0),IF(AND(C29="Bimestral",MONTH(TODAY())-1&lt;=12),VLOOKUP(RIGHT(A29,1),'Tabla Vencimiento'!$A$3:$M$12,13,0),IF(AND(C29="Cuatrimestral",MONTH(TODAY())-1&lt;=4),VLOOKUP(RIGHT(A29,1),'Tabla Vencimiento'!$A$3:$E$12,5,0),IF(AND(C29="Cuatrimestral",MONTH(TODAY())-1&lt;=8),VLOOKUP(RIGHT(A29,1),'Tabla Vencimiento'!$A$3:$I$12,9,0),IF(AND(C29="Cuatrimestral",MONTH(TODAY())-1&lt;=12),VLOOKUP(RIGHT(A29,1),'Tabla Vencimiento'!$A$3:$M$12,13,0),0))))))))))),0)</f>
        <v>0</v>
      </c>
      <c r="H29" s="57">
        <f ca="1">+IF(AND(D29="Tributación Simple",MONTH(TODAY())=2),VLOOKUP(RIGHT(A29,1),'Tabla Vencimiento'!$I$17:$J$26,2,0),0)</f>
        <v>0</v>
      </c>
      <c r="I29" s="56">
        <f ca="1">+IF(AND(D29="Tributación Simple",MONTH(TODAY())=2),VLOOKUP(RIGHT(A29,1),'Tabla Vencimiento'!$A$39:$G$48,2,0),+IF(AND(D29="Tributación Simple",MONTH(TODAY())=4),VLOOKUP(RIGHT(A29,1),'Tabla Vencimiento'!$A$39:$G$48,3,0),+IF(AND(D29="Tributación Simple",MONTH(TODAY())=6),VLOOKUP(RIGHT(A29,1),'Tabla Vencimiento'!$A$39:$G$48,4,0),+IF(AND(D29="Tributación Simple",MONTH(TODAY())=8),VLOOKUP(RIGHT(A29,1),'Tabla Vencimiento'!$A$39:$G$48,5,0),+IF(AND(D29="Tributación Simple",MONTH(TODAY())=10),VLOOKUP(RIGHT(A29,1),'Tabla Vencimiento'!$A$39:$G$48,6,0),+IF(AND(D29="Tributación Simple",MONTH(TODAY())=12),VLOOKUP(RIGHT(A29,1),'Tabla Vencimiento'!$A$39:$G$48,7,0),0))))))</f>
        <v>0</v>
      </c>
      <c r="J29" s="56">
        <f>+IF(AND(D29="Ordinario",E29="PN"),VLOOKUP(RIGHT(A29,2),'Tabla Vencimiento'!$I$40:$J$139,2,0),+IF(AND(D29="Ordinario",E29="PN"),VLOOKUP(RIGHT(A29,2),'Tabla Vencimiento'!$J$40:$J$139,2,0),+IF(AND(D29="Tributación Simple",E29="PN"),0,+IF(AND(D29="Tributación Simple",E29="PJ"),0,+IF(AND(RIGHT(A29,2)&gt;='Tabla Vencimiento'!$A$16,RIGHT(A29,2)&lt;='Tabla Vencimiento'!$B$16),'Tabla Vencimiento'!$C$16,IF(AND(RIGHT(A29,2)&gt;='Tabla Vencimiento'!$A$17,RIGHT(A29,2)&lt;='Tabla Vencimiento'!$B$17),'Tabla Vencimiento'!$C$17,IF(AND(RIGHT(A29,2)&gt;='Tabla Vencimiento'!$A$18,RIGHT(A29,2)&lt;='Tabla Vencimiento'!$B$18),'Tabla Vencimiento'!$C$18,IF(AND(RIGHT(A29,2)&gt;='Tabla Vencimiento'!$A$19,RIGHT(A29,2)&lt;='Tabla Vencimiento'!$B$19),'Tabla Vencimiento'!$C$19,IF(AND(RIGHT(A29,2)&gt;='Tabla Vencimiento'!$A$20,RIGHT(A29,2)&lt;='Tabla Vencimiento'!$B$20),'Tabla Vencimiento'!$C$20,IF(AND(RIGHT(A29,2)&gt;='Tabla Vencimiento'!$A$21,RIGHT(A29,2)&lt;='Tabla Vencimiento'!$B$21),'Tabla Vencimiento'!$C$21,IF(AND(RIGHT(A29,2)&gt;='Tabla Vencimiento'!$A$22,RIGHT(A29,2)&lt;='Tabla Vencimiento'!$B$22),'Tabla Vencimiento'!$C$22,IF(AND(RIGHT(A29,2)&gt;='Tabla Vencimiento'!$A$23,RIGHT(A29,2)&lt;='Tabla Vencimiento'!$B$23),'Tabla Vencimiento'!$C$23,IF(AND(RIGHT(A29,2)&gt;='Tabla Vencimiento'!$A$24,RIGHT(A29,2)&lt;='Tabla Vencimiento'!$B$24),'Tabla Vencimiento'!$C$24,IF(AND(RIGHT(A29,2)&gt;='Tabla Vencimiento'!$A$25,RIGHT(A29,2)&lt;='Tabla Vencimiento'!$B$25),'Tabla Vencimiento'!$C$25,IF(AND(RIGHT(A29,2)&gt;='Tabla Vencimiento'!$A$26,RIGHT(A29,2)&lt;='Tabla Vencimiento'!$B$26),'Tabla Vencimiento'!$C$26,IF(AND(RIGHT(A29,2)&gt;='Tabla Vencimiento'!$A$27,RIGHT(A29,2)&lt;='Tabla Vencimiento'!$B$27),'Tabla Vencimiento'!$C$27,IF(AND(RIGHT(A29,2)&gt;='Tabla Vencimiento'!$A$28,RIGHT(A29,2)&lt;='Tabla Vencimiento'!$B$28),'Tabla Vencimiento'!$C$28,IF(AND(RIGHT(A29,2)&gt;='Tabla Vencimiento'!$A$29,RIGHT(A29,2)&lt;='Tabla Vencimiento'!$B$29),'Tabla Vencimiento'!$C$29,IF(AND(RIGHT(A29,2)&gt;='Tabla Vencimiento'!$A$30,RIGHT(A29,2)&lt;='Tabla Vencimiento'!$B$30),'Tabla Vencimiento'!$C$30,IF(AND(RIGHT(A29,2)&gt;='Tabla Vencimiento'!$A$31,RIGHT(A29,2)&lt;='Tabla Vencimiento'!$B$31),'Tabla Vencimiento'!$C$31,IF(AND(RIGHT(A29,2)&gt;='Tabla Vencimiento'!$A$32,RIGHT(A29,2)&lt;='Tabla Vencimiento'!$B$32),'Tabla Vencimiento'!$C$32,IF(AND(RIGHT(A29,2)&gt;='Tabla Vencimiento'!$A$33,RIGHT(A29,2)&lt;='Tabla Vencimiento'!$B$33),'Tabla Vencimiento'!$C$33,IF(AND(RIGHT(A29,2)&gt;='Tabla Vencimiento'!$A$34,RIGHT(A29,2)&lt;='Tabla Vencimiento'!$B$34),'Tabla Vencimiento'!$C$34,IF(AND(RIGHT(A29,2)&gt;='Tabla Vencimiento'!$A$35),'Tabla Vencimiento'!$C$35,0))))))))))))))))))))))))</f>
        <v>0</v>
      </c>
      <c r="K29" s="56">
        <f>+IF((D29="Tributación Simple"),VLOOKUP(RIGHT(A29,1),'Tabla Vencimiento'!$F$17:$G$26,2,0),0)</f>
        <v>0</v>
      </c>
      <c r="L29" s="56">
        <f>+IF(AND(RIGHT(A29,2) &gt;='Tabla Vencimiento'!$A$16,RIGHT(A29,2) &lt;='Tabla Vencimiento'!$B$16),'Tabla Vencimiento'!$D$16,IF(AND(RIGHT(A29,2) &gt;='Tabla Vencimiento'!$A$17,RIGHT(A29,2) &lt;='Tabla Vencimiento'!$B$17),'Tabla Vencimiento'!$D$17,IF(AND(RIGHT(A29,2) &gt;='Tabla Vencimiento'!$A$18,RIGHT(A29,2) &lt;='Tabla Vencimiento'!$B$18),'Tabla Vencimiento'!$D$18,IF(AND(RIGHT(A29,2) &gt;='Tabla Vencimiento'!$A$19,RIGHT(A29,2) &lt;='Tabla Vencimiento'!$B$19),'Tabla Vencimiento'!$D$19,IF(AND(RIGHT(A29,2) &gt;='Tabla Vencimiento'!$A$20,RIGHT(A29,2) &lt;='Tabla Vencimiento'!$B$20),'Tabla Vencimiento'!$D$20,IF(AND(RIGHT(A29,2) &gt;='Tabla Vencimiento'!$A$21,RIGHT(A29,2) &lt;='Tabla Vencimiento'!$B$21),'Tabla Vencimiento'!$D$21,IF(AND(RIGHT(A29,2) &gt;='Tabla Vencimiento'!$A$22,RIGHT(A29,2) &lt;='Tabla Vencimiento'!$B$22),'Tabla Vencimiento'!$D$22,IF(AND(RIGHT(A29,2) &gt;='Tabla Vencimiento'!$A$23,RIGHT(A29,2) &lt;='Tabla Vencimiento'!$B$23),'Tabla Vencimiento'!$D$23,IF(AND(RIGHT(A29,2) &gt;='Tabla Vencimiento'!$A$24,RIGHT(A29,2) &lt;='Tabla Vencimiento'!$B$24),'Tabla Vencimiento'!$D$24,IF(AND(RIGHT(A29,2) &gt;='Tabla Vencimiento'!$A$25,RIGHT(A29,2) &lt;='Tabla Vencimiento'!$B$25),'Tabla Vencimiento'!$D$25,IF(AND(RIGHT(A29,2) &gt;='Tabla Vencimiento'!$A$26,RIGHT(A29,2) &lt;='Tabla Vencimiento'!$B$26),'Tabla Vencimiento'!$D$26,IF(AND(RIGHT(A29,2) &gt;='Tabla Vencimiento'!$A$27,RIGHT(A29,2) &lt;='Tabla Vencimiento'!$B$27),'Tabla Vencimiento'!$D$27,IF(AND(RIGHT(A29,2) &gt;='Tabla Vencimiento'!$A$28,RIGHT(A29,2) &lt;='Tabla Vencimiento'!$B$28),'Tabla Vencimiento'!$D$28,IF(AND(RIGHT(A29,2) &gt;='Tabla Vencimiento'!$A$29,RIGHT(A29,2) &lt;='Tabla Vencimiento'!$B$29),'Tabla Vencimiento'!$D$29,IF(AND(RIGHT(A29,2) &gt;='Tabla Vencimiento'!$A$30,RIGHT(A29,2) &lt;='Tabla Vencimiento'!$B$30),'Tabla Vencimiento'!$D$30,IF(AND(RIGHT(A29,2) &gt;='Tabla Vencimiento'!$A$31,RIGHT(A29,2) &lt;='Tabla Vencimiento'!$B$31),'Tabla Vencimiento'!$D$31,IF(AND(RIGHT(A29,2) &gt;='Tabla Vencimiento'!$A$32,RIGHT(A29,2) &lt;='Tabla Vencimiento'!$B$32),'Tabla Vencimiento'!$D$32,IF(AND(RIGHT(A29,2) &gt;='Tabla Vencimiento'!$A$33,RIGHT(A29,2) &lt;='Tabla Vencimiento'!$B$33),'Tabla Vencimiento'!$D$33,IF(AND(RIGHT(A29,2) &gt;='Tabla Vencimiento'!$A$34,RIGHT(A29,2) &lt;='Tabla Vencimiento'!$B$34),'Tabla Vencimiento'!$D$34,IF(AND(RIGHT(A29,2) &gt;='Tabla Vencimiento'!$A$35),'Tabla Vencimiento'!$D$35,0))))))))))))))))))))</f>
        <v>0</v>
      </c>
    </row>
    <row r="30" spans="1:12" x14ac:dyDescent="0.45">
      <c r="A30" s="52"/>
      <c r="B30" s="52"/>
      <c r="C30" s="52"/>
      <c r="D30" s="52"/>
      <c r="E30" s="52"/>
      <c r="F30" s="56" t="b">
        <f ca="1">IFERROR(+IF(MONTH(TODAY())=2,VLOOKUP(RIGHT(A30,1),'Tabla Vencimiento'!$A$3:$B$12,2,IF(MONTH(TODAY())=3,VLOOKUP(RIGHT(A30,1),'Tabla Vencimiento'!$A$3:$C$12,3),IF(MONTH(TODAY())=4,VLOOKUP(RIGHT(A30,1),'Tabla Vencimiento'!$A$3:$D$12,4),IF(MONTH(TODAY())=5,VLOOKUP(RIGHT(A30,1),'Tabla Vencimiento'!$A$3:$E$12,5,0),IF(MONTH(TODAY())=6,VLOOKUP(RIGHT(A30,1),'Tabla Vencimiento'!$A$3:$F$12,6),IF(MONTH(TODAY())=7,VLOOKUP(RIGHT(A30,1),'Tabla Vencimiento'!$A$3:$G$12,7),IF(MONTH(TODAY())=8,VLOOKUP(RIGHT(A30,1),'Tabla Vencimiento'!$A$3:$H$12,8),IF(MONTH(TODAY())=9,VLOOKUP(RIGHT(A30,1),'Tabla Vencimiento'!$A$3:$I$12,9),IF(MONTH(TODAY())=10,VLOOKUP(RIGHT(A30,1),'Tabla Vencimiento'!$A$3:$J$12,10),IF(MONTH(TODAY())=11,VLOOKUP(RIGHT(A30,1),'Tabla Vencimiento'!$A$3:$K$12,11),IF(MONTH(TODAY())=12,VLOOKUP(RIGHT(A30,1),'Tabla Vencimiento'!$A$3:$L$12,12),0)))))))))))),0)</f>
        <v>0</v>
      </c>
      <c r="G30" s="56">
        <f ca="1">IFERROR(+IF(C30="No Responsable", 0,+IF(D30="Tributación Simple", 0,+IF(AND(C30="Bimestral",MONTH(TODAY())-1&lt;=2),VLOOKUP(RIGHT(A30,1),'Tabla Vencimiento'!$A$3:$C$12,3,0),IF(AND(C30="Bimestral",MONTH(TODAY())-1&lt;=4),VLOOKUP(RIGHT(A30,1),'Tabla Vencimiento'!$A$3:$E$12,5,0),IF(AND(C30="Bimestral",MONTH(TODAY())-1&lt;=6),VLOOKUP(RIGHT(A30,1),'Tabla Vencimiento'!$A$3:$G$12,7,0),IF(AND(C30="Bimestral",MONTH(TODAY())-1&lt;=8),VLOOKUP(RIGHT(A30,1),'Tabla Vencimiento'!$A$3:$I$12,9,0),IF(AND(C30="Bimestral",MONTH(TODAY())-1=10),VLOOKUP(RIGHT(A30,1),'Tabla Vencimiento'!$A$3:$K$12,11,0),IF(AND(C30="Bimestral",MONTH(TODAY())-1&lt;=12),VLOOKUP(RIGHT(A30,1),'Tabla Vencimiento'!$A$3:$M$12,13,0),IF(AND(C30="Cuatrimestral",MONTH(TODAY())-1&lt;=4),VLOOKUP(RIGHT(A30,1),'Tabla Vencimiento'!$A$3:$E$12,5,0),IF(AND(C30="Cuatrimestral",MONTH(TODAY())-1&lt;=8),VLOOKUP(RIGHT(A30,1),'Tabla Vencimiento'!$A$3:$I$12,9,0),IF(AND(C30="Cuatrimestral",MONTH(TODAY())-1&lt;=12),VLOOKUP(RIGHT(A30,1),'Tabla Vencimiento'!$A$3:$M$12,13,0),0))))))))))),0)</f>
        <v>0</v>
      </c>
      <c r="H30" s="57">
        <f ca="1">+IF(AND(D30="Tributación Simple",MONTH(TODAY())=2),VLOOKUP(RIGHT(A30,1),'Tabla Vencimiento'!$I$17:$J$26,2,0),0)</f>
        <v>0</v>
      </c>
      <c r="I30" s="56">
        <f ca="1">+IF(AND(D30="Tributación Simple",MONTH(TODAY())=2),VLOOKUP(RIGHT(A30,1),'Tabla Vencimiento'!$A$39:$G$48,2,0),+IF(AND(D30="Tributación Simple",MONTH(TODAY())=4),VLOOKUP(RIGHT(A30,1),'Tabla Vencimiento'!$A$39:$G$48,3,0),+IF(AND(D30="Tributación Simple",MONTH(TODAY())=6),VLOOKUP(RIGHT(A30,1),'Tabla Vencimiento'!$A$39:$G$48,4,0),+IF(AND(D30="Tributación Simple",MONTH(TODAY())=8),VLOOKUP(RIGHT(A30,1),'Tabla Vencimiento'!$A$39:$G$48,5,0),+IF(AND(D30="Tributación Simple",MONTH(TODAY())=10),VLOOKUP(RIGHT(A30,1),'Tabla Vencimiento'!$A$39:$G$48,6,0),+IF(AND(D30="Tributación Simple",MONTH(TODAY())=12),VLOOKUP(RIGHT(A30,1),'Tabla Vencimiento'!$A$39:$G$48,7,0),0))))))</f>
        <v>0</v>
      </c>
      <c r="J30" s="56">
        <f>+IF(AND(D30="Ordinario",E30="PN"),VLOOKUP(RIGHT(A30,2),'Tabla Vencimiento'!$I$40:$J$139,2,0),+IF(AND(D30="Ordinario",E30="PN"),VLOOKUP(RIGHT(A30,2),'Tabla Vencimiento'!$J$40:$J$139,2,0),+IF(AND(D30="Tributación Simple",E30="PN"),0,+IF(AND(D30="Tributación Simple",E30="PJ"),0,+IF(AND(RIGHT(A30,2)&gt;='Tabla Vencimiento'!$A$16,RIGHT(A30,2)&lt;='Tabla Vencimiento'!$B$16),'Tabla Vencimiento'!$C$16,IF(AND(RIGHT(A30,2)&gt;='Tabla Vencimiento'!$A$17,RIGHT(A30,2)&lt;='Tabla Vencimiento'!$B$17),'Tabla Vencimiento'!$C$17,IF(AND(RIGHT(A30,2)&gt;='Tabla Vencimiento'!$A$18,RIGHT(A30,2)&lt;='Tabla Vencimiento'!$B$18),'Tabla Vencimiento'!$C$18,IF(AND(RIGHT(A30,2)&gt;='Tabla Vencimiento'!$A$19,RIGHT(A30,2)&lt;='Tabla Vencimiento'!$B$19),'Tabla Vencimiento'!$C$19,IF(AND(RIGHT(A30,2)&gt;='Tabla Vencimiento'!$A$20,RIGHT(A30,2)&lt;='Tabla Vencimiento'!$B$20),'Tabla Vencimiento'!$C$20,IF(AND(RIGHT(A30,2)&gt;='Tabla Vencimiento'!$A$21,RIGHT(A30,2)&lt;='Tabla Vencimiento'!$B$21),'Tabla Vencimiento'!$C$21,IF(AND(RIGHT(A30,2)&gt;='Tabla Vencimiento'!$A$22,RIGHT(A30,2)&lt;='Tabla Vencimiento'!$B$22),'Tabla Vencimiento'!$C$22,IF(AND(RIGHT(A30,2)&gt;='Tabla Vencimiento'!$A$23,RIGHT(A30,2)&lt;='Tabla Vencimiento'!$B$23),'Tabla Vencimiento'!$C$23,IF(AND(RIGHT(A30,2)&gt;='Tabla Vencimiento'!$A$24,RIGHT(A30,2)&lt;='Tabla Vencimiento'!$B$24),'Tabla Vencimiento'!$C$24,IF(AND(RIGHT(A30,2)&gt;='Tabla Vencimiento'!$A$25,RIGHT(A30,2)&lt;='Tabla Vencimiento'!$B$25),'Tabla Vencimiento'!$C$25,IF(AND(RIGHT(A30,2)&gt;='Tabla Vencimiento'!$A$26,RIGHT(A30,2)&lt;='Tabla Vencimiento'!$B$26),'Tabla Vencimiento'!$C$26,IF(AND(RIGHT(A30,2)&gt;='Tabla Vencimiento'!$A$27,RIGHT(A30,2)&lt;='Tabla Vencimiento'!$B$27),'Tabla Vencimiento'!$C$27,IF(AND(RIGHT(A30,2)&gt;='Tabla Vencimiento'!$A$28,RIGHT(A30,2)&lt;='Tabla Vencimiento'!$B$28),'Tabla Vencimiento'!$C$28,IF(AND(RIGHT(A30,2)&gt;='Tabla Vencimiento'!$A$29,RIGHT(A30,2)&lt;='Tabla Vencimiento'!$B$29),'Tabla Vencimiento'!$C$29,IF(AND(RIGHT(A30,2)&gt;='Tabla Vencimiento'!$A$30,RIGHT(A30,2)&lt;='Tabla Vencimiento'!$B$30),'Tabla Vencimiento'!$C$30,IF(AND(RIGHT(A30,2)&gt;='Tabla Vencimiento'!$A$31,RIGHT(A30,2)&lt;='Tabla Vencimiento'!$B$31),'Tabla Vencimiento'!$C$31,IF(AND(RIGHT(A30,2)&gt;='Tabla Vencimiento'!$A$32,RIGHT(A30,2)&lt;='Tabla Vencimiento'!$B$32),'Tabla Vencimiento'!$C$32,IF(AND(RIGHT(A30,2)&gt;='Tabla Vencimiento'!$A$33,RIGHT(A30,2)&lt;='Tabla Vencimiento'!$B$33),'Tabla Vencimiento'!$C$33,IF(AND(RIGHT(A30,2)&gt;='Tabla Vencimiento'!$A$34,RIGHT(A30,2)&lt;='Tabla Vencimiento'!$B$34),'Tabla Vencimiento'!$C$34,IF(AND(RIGHT(A30,2)&gt;='Tabla Vencimiento'!$A$35),'Tabla Vencimiento'!$C$35,0))))))))))))))))))))))))</f>
        <v>0</v>
      </c>
      <c r="K30" s="56">
        <f>+IF((D30="Tributación Simple"),VLOOKUP(RIGHT(A30,1),'Tabla Vencimiento'!$F$17:$G$26,2,0),0)</f>
        <v>0</v>
      </c>
      <c r="L30" s="56">
        <f>+IF(AND(RIGHT(A30,2) &gt;='Tabla Vencimiento'!$A$16,RIGHT(A30,2) &lt;='Tabla Vencimiento'!$B$16),'Tabla Vencimiento'!$D$16,IF(AND(RIGHT(A30,2) &gt;='Tabla Vencimiento'!$A$17,RIGHT(A30,2) &lt;='Tabla Vencimiento'!$B$17),'Tabla Vencimiento'!$D$17,IF(AND(RIGHT(A30,2) &gt;='Tabla Vencimiento'!$A$18,RIGHT(A30,2) &lt;='Tabla Vencimiento'!$B$18),'Tabla Vencimiento'!$D$18,IF(AND(RIGHT(A30,2) &gt;='Tabla Vencimiento'!$A$19,RIGHT(A30,2) &lt;='Tabla Vencimiento'!$B$19),'Tabla Vencimiento'!$D$19,IF(AND(RIGHT(A30,2) &gt;='Tabla Vencimiento'!$A$20,RIGHT(A30,2) &lt;='Tabla Vencimiento'!$B$20),'Tabla Vencimiento'!$D$20,IF(AND(RIGHT(A30,2) &gt;='Tabla Vencimiento'!$A$21,RIGHT(A30,2) &lt;='Tabla Vencimiento'!$B$21),'Tabla Vencimiento'!$D$21,IF(AND(RIGHT(A30,2) &gt;='Tabla Vencimiento'!$A$22,RIGHT(A30,2) &lt;='Tabla Vencimiento'!$B$22),'Tabla Vencimiento'!$D$22,IF(AND(RIGHT(A30,2) &gt;='Tabla Vencimiento'!$A$23,RIGHT(A30,2) &lt;='Tabla Vencimiento'!$B$23),'Tabla Vencimiento'!$D$23,IF(AND(RIGHT(A30,2) &gt;='Tabla Vencimiento'!$A$24,RIGHT(A30,2) &lt;='Tabla Vencimiento'!$B$24),'Tabla Vencimiento'!$D$24,IF(AND(RIGHT(A30,2) &gt;='Tabla Vencimiento'!$A$25,RIGHT(A30,2) &lt;='Tabla Vencimiento'!$B$25),'Tabla Vencimiento'!$D$25,IF(AND(RIGHT(A30,2) &gt;='Tabla Vencimiento'!$A$26,RIGHT(A30,2) &lt;='Tabla Vencimiento'!$B$26),'Tabla Vencimiento'!$D$26,IF(AND(RIGHT(A30,2) &gt;='Tabla Vencimiento'!$A$27,RIGHT(A30,2) &lt;='Tabla Vencimiento'!$B$27),'Tabla Vencimiento'!$D$27,IF(AND(RIGHT(A30,2) &gt;='Tabla Vencimiento'!$A$28,RIGHT(A30,2) &lt;='Tabla Vencimiento'!$B$28),'Tabla Vencimiento'!$D$28,IF(AND(RIGHT(A30,2) &gt;='Tabla Vencimiento'!$A$29,RIGHT(A30,2) &lt;='Tabla Vencimiento'!$B$29),'Tabla Vencimiento'!$D$29,IF(AND(RIGHT(A30,2) &gt;='Tabla Vencimiento'!$A$30,RIGHT(A30,2) &lt;='Tabla Vencimiento'!$B$30),'Tabla Vencimiento'!$D$30,IF(AND(RIGHT(A30,2) &gt;='Tabla Vencimiento'!$A$31,RIGHT(A30,2) &lt;='Tabla Vencimiento'!$B$31),'Tabla Vencimiento'!$D$31,IF(AND(RIGHT(A30,2) &gt;='Tabla Vencimiento'!$A$32,RIGHT(A30,2) &lt;='Tabla Vencimiento'!$B$32),'Tabla Vencimiento'!$D$32,IF(AND(RIGHT(A30,2) &gt;='Tabla Vencimiento'!$A$33,RIGHT(A30,2) &lt;='Tabla Vencimiento'!$B$33),'Tabla Vencimiento'!$D$33,IF(AND(RIGHT(A30,2) &gt;='Tabla Vencimiento'!$A$34,RIGHT(A30,2) &lt;='Tabla Vencimiento'!$B$34),'Tabla Vencimiento'!$D$34,IF(AND(RIGHT(A30,2) &gt;='Tabla Vencimiento'!$A$35),'Tabla Vencimiento'!$D$35,0))))))))))))))))))))</f>
        <v>0</v>
      </c>
    </row>
    <row r="31" spans="1:12" x14ac:dyDescent="0.45">
      <c r="A31" s="52"/>
      <c r="B31" s="52"/>
      <c r="C31" s="52"/>
      <c r="D31" s="52"/>
      <c r="E31" s="52"/>
      <c r="F31" s="56" t="b">
        <f ca="1">IFERROR(+IF(MONTH(TODAY())=2,VLOOKUP(RIGHT(A31,1),'Tabla Vencimiento'!$A$3:$B$12,2,IF(MONTH(TODAY())=3,VLOOKUP(RIGHT(A31,1),'Tabla Vencimiento'!$A$3:$C$12,3),IF(MONTH(TODAY())=4,VLOOKUP(RIGHT(A31,1),'Tabla Vencimiento'!$A$3:$D$12,4),IF(MONTH(TODAY())=5,VLOOKUP(RIGHT(A31,1),'Tabla Vencimiento'!$A$3:$E$12,5,0),IF(MONTH(TODAY())=6,VLOOKUP(RIGHT(A31,1),'Tabla Vencimiento'!$A$3:$F$12,6),IF(MONTH(TODAY())=7,VLOOKUP(RIGHT(A31,1),'Tabla Vencimiento'!$A$3:$G$12,7),IF(MONTH(TODAY())=8,VLOOKUP(RIGHT(A31,1),'Tabla Vencimiento'!$A$3:$H$12,8),IF(MONTH(TODAY())=9,VLOOKUP(RIGHT(A31,1),'Tabla Vencimiento'!$A$3:$I$12,9),IF(MONTH(TODAY())=10,VLOOKUP(RIGHT(A31,1),'Tabla Vencimiento'!$A$3:$J$12,10),IF(MONTH(TODAY())=11,VLOOKUP(RIGHT(A31,1),'Tabla Vencimiento'!$A$3:$K$12,11),IF(MONTH(TODAY())=12,VLOOKUP(RIGHT(A31,1),'Tabla Vencimiento'!$A$3:$L$12,12),0)))))))))))),0)</f>
        <v>0</v>
      </c>
      <c r="G31" s="56">
        <f ca="1">IFERROR(+IF(C31="No Responsable", 0,+IF(D31="Tributación Simple", 0,+IF(AND(C31="Bimestral",MONTH(TODAY())-1&lt;=2),VLOOKUP(RIGHT(A31,1),'Tabla Vencimiento'!$A$3:$C$12,3,0),IF(AND(C31="Bimestral",MONTH(TODAY())-1&lt;=4),VLOOKUP(RIGHT(A31,1),'Tabla Vencimiento'!$A$3:$E$12,5,0),IF(AND(C31="Bimestral",MONTH(TODAY())-1&lt;=6),VLOOKUP(RIGHT(A31,1),'Tabla Vencimiento'!$A$3:$G$12,7,0),IF(AND(C31="Bimestral",MONTH(TODAY())-1&lt;=8),VLOOKUP(RIGHT(A31,1),'Tabla Vencimiento'!$A$3:$I$12,9,0),IF(AND(C31="Bimestral",MONTH(TODAY())-1=10),VLOOKUP(RIGHT(A31,1),'Tabla Vencimiento'!$A$3:$K$12,11,0),IF(AND(C31="Bimestral",MONTH(TODAY())-1&lt;=12),VLOOKUP(RIGHT(A31,1),'Tabla Vencimiento'!$A$3:$M$12,13,0),IF(AND(C31="Cuatrimestral",MONTH(TODAY())-1&lt;=4),VLOOKUP(RIGHT(A31,1),'Tabla Vencimiento'!$A$3:$E$12,5,0),IF(AND(C31="Cuatrimestral",MONTH(TODAY())-1&lt;=8),VLOOKUP(RIGHT(A31,1),'Tabla Vencimiento'!$A$3:$I$12,9,0),IF(AND(C31="Cuatrimestral",MONTH(TODAY())-1&lt;=12),VLOOKUP(RIGHT(A31,1),'Tabla Vencimiento'!$A$3:$M$12,13,0),0))))))))))),0)</f>
        <v>0</v>
      </c>
      <c r="H31" s="57">
        <f ca="1">+IF(AND(D31="Tributación Simple",MONTH(TODAY())=2),VLOOKUP(RIGHT(A31,1),'Tabla Vencimiento'!$I$17:$J$26,2,0),0)</f>
        <v>0</v>
      </c>
      <c r="I31" s="56">
        <f ca="1">+IF(AND(D31="Tributación Simple",MONTH(TODAY())=2),VLOOKUP(RIGHT(A31,1),'Tabla Vencimiento'!$A$39:$G$48,2,0),+IF(AND(D31="Tributación Simple",MONTH(TODAY())=4),VLOOKUP(RIGHT(A31,1),'Tabla Vencimiento'!$A$39:$G$48,3,0),+IF(AND(D31="Tributación Simple",MONTH(TODAY())=6),VLOOKUP(RIGHT(A31,1),'Tabla Vencimiento'!$A$39:$G$48,4,0),+IF(AND(D31="Tributación Simple",MONTH(TODAY())=8),VLOOKUP(RIGHT(A31,1),'Tabla Vencimiento'!$A$39:$G$48,5,0),+IF(AND(D31="Tributación Simple",MONTH(TODAY())=10),VLOOKUP(RIGHT(A31,1),'Tabla Vencimiento'!$A$39:$G$48,6,0),+IF(AND(D31="Tributación Simple",MONTH(TODAY())=12),VLOOKUP(RIGHT(A31,1),'Tabla Vencimiento'!$A$39:$G$48,7,0),0))))))</f>
        <v>0</v>
      </c>
      <c r="J31" s="56">
        <f>+IF(AND(D31="Ordinario",E31="PN"),VLOOKUP(RIGHT(A31,2),'Tabla Vencimiento'!$I$40:$J$139,2,0),+IF(AND(D31="Ordinario",E31="PN"),VLOOKUP(RIGHT(A31,2),'Tabla Vencimiento'!$J$40:$J$139,2,0),+IF(AND(D31="Tributación Simple",E31="PN"),0,+IF(AND(D31="Tributación Simple",E31="PJ"),0,+IF(AND(RIGHT(A31,2)&gt;='Tabla Vencimiento'!$A$16,RIGHT(A31,2)&lt;='Tabla Vencimiento'!$B$16),'Tabla Vencimiento'!$C$16,IF(AND(RIGHT(A31,2)&gt;='Tabla Vencimiento'!$A$17,RIGHT(A31,2)&lt;='Tabla Vencimiento'!$B$17),'Tabla Vencimiento'!$C$17,IF(AND(RIGHT(A31,2)&gt;='Tabla Vencimiento'!$A$18,RIGHT(A31,2)&lt;='Tabla Vencimiento'!$B$18),'Tabla Vencimiento'!$C$18,IF(AND(RIGHT(A31,2)&gt;='Tabla Vencimiento'!$A$19,RIGHT(A31,2)&lt;='Tabla Vencimiento'!$B$19),'Tabla Vencimiento'!$C$19,IF(AND(RIGHT(A31,2)&gt;='Tabla Vencimiento'!$A$20,RIGHT(A31,2)&lt;='Tabla Vencimiento'!$B$20),'Tabla Vencimiento'!$C$20,IF(AND(RIGHT(A31,2)&gt;='Tabla Vencimiento'!$A$21,RIGHT(A31,2)&lt;='Tabla Vencimiento'!$B$21),'Tabla Vencimiento'!$C$21,IF(AND(RIGHT(A31,2)&gt;='Tabla Vencimiento'!$A$22,RIGHT(A31,2)&lt;='Tabla Vencimiento'!$B$22),'Tabla Vencimiento'!$C$22,IF(AND(RIGHT(A31,2)&gt;='Tabla Vencimiento'!$A$23,RIGHT(A31,2)&lt;='Tabla Vencimiento'!$B$23),'Tabla Vencimiento'!$C$23,IF(AND(RIGHT(A31,2)&gt;='Tabla Vencimiento'!$A$24,RIGHT(A31,2)&lt;='Tabla Vencimiento'!$B$24),'Tabla Vencimiento'!$C$24,IF(AND(RIGHT(A31,2)&gt;='Tabla Vencimiento'!$A$25,RIGHT(A31,2)&lt;='Tabla Vencimiento'!$B$25),'Tabla Vencimiento'!$C$25,IF(AND(RIGHT(A31,2)&gt;='Tabla Vencimiento'!$A$26,RIGHT(A31,2)&lt;='Tabla Vencimiento'!$B$26),'Tabla Vencimiento'!$C$26,IF(AND(RIGHT(A31,2)&gt;='Tabla Vencimiento'!$A$27,RIGHT(A31,2)&lt;='Tabla Vencimiento'!$B$27),'Tabla Vencimiento'!$C$27,IF(AND(RIGHT(A31,2)&gt;='Tabla Vencimiento'!$A$28,RIGHT(A31,2)&lt;='Tabla Vencimiento'!$B$28),'Tabla Vencimiento'!$C$28,IF(AND(RIGHT(A31,2)&gt;='Tabla Vencimiento'!$A$29,RIGHT(A31,2)&lt;='Tabla Vencimiento'!$B$29),'Tabla Vencimiento'!$C$29,IF(AND(RIGHT(A31,2)&gt;='Tabla Vencimiento'!$A$30,RIGHT(A31,2)&lt;='Tabla Vencimiento'!$B$30),'Tabla Vencimiento'!$C$30,IF(AND(RIGHT(A31,2)&gt;='Tabla Vencimiento'!$A$31,RIGHT(A31,2)&lt;='Tabla Vencimiento'!$B$31),'Tabla Vencimiento'!$C$31,IF(AND(RIGHT(A31,2)&gt;='Tabla Vencimiento'!$A$32,RIGHT(A31,2)&lt;='Tabla Vencimiento'!$B$32),'Tabla Vencimiento'!$C$32,IF(AND(RIGHT(A31,2)&gt;='Tabla Vencimiento'!$A$33,RIGHT(A31,2)&lt;='Tabla Vencimiento'!$B$33),'Tabla Vencimiento'!$C$33,IF(AND(RIGHT(A31,2)&gt;='Tabla Vencimiento'!$A$34,RIGHT(A31,2)&lt;='Tabla Vencimiento'!$B$34),'Tabla Vencimiento'!$C$34,IF(AND(RIGHT(A31,2)&gt;='Tabla Vencimiento'!$A$35),'Tabla Vencimiento'!$C$35,0))))))))))))))))))))))))</f>
        <v>0</v>
      </c>
      <c r="K31" s="56">
        <f>+IF((D31="Tributación Simple"),VLOOKUP(RIGHT(A31,1),'Tabla Vencimiento'!$F$17:$G$26,2,0),0)</f>
        <v>0</v>
      </c>
      <c r="L31" s="56">
        <f>+IF(AND(RIGHT(A31,2) &gt;='Tabla Vencimiento'!$A$16,RIGHT(A31,2) &lt;='Tabla Vencimiento'!$B$16),'Tabla Vencimiento'!$D$16,IF(AND(RIGHT(A31,2) &gt;='Tabla Vencimiento'!$A$17,RIGHT(A31,2) &lt;='Tabla Vencimiento'!$B$17),'Tabla Vencimiento'!$D$17,IF(AND(RIGHT(A31,2) &gt;='Tabla Vencimiento'!$A$18,RIGHT(A31,2) &lt;='Tabla Vencimiento'!$B$18),'Tabla Vencimiento'!$D$18,IF(AND(RIGHT(A31,2) &gt;='Tabla Vencimiento'!$A$19,RIGHT(A31,2) &lt;='Tabla Vencimiento'!$B$19),'Tabla Vencimiento'!$D$19,IF(AND(RIGHT(A31,2) &gt;='Tabla Vencimiento'!$A$20,RIGHT(A31,2) &lt;='Tabla Vencimiento'!$B$20),'Tabla Vencimiento'!$D$20,IF(AND(RIGHT(A31,2) &gt;='Tabla Vencimiento'!$A$21,RIGHT(A31,2) &lt;='Tabla Vencimiento'!$B$21),'Tabla Vencimiento'!$D$21,IF(AND(RIGHT(A31,2) &gt;='Tabla Vencimiento'!$A$22,RIGHT(A31,2) &lt;='Tabla Vencimiento'!$B$22),'Tabla Vencimiento'!$D$22,IF(AND(RIGHT(A31,2) &gt;='Tabla Vencimiento'!$A$23,RIGHT(A31,2) &lt;='Tabla Vencimiento'!$B$23),'Tabla Vencimiento'!$D$23,IF(AND(RIGHT(A31,2) &gt;='Tabla Vencimiento'!$A$24,RIGHT(A31,2) &lt;='Tabla Vencimiento'!$B$24),'Tabla Vencimiento'!$D$24,IF(AND(RIGHT(A31,2) &gt;='Tabla Vencimiento'!$A$25,RIGHT(A31,2) &lt;='Tabla Vencimiento'!$B$25),'Tabla Vencimiento'!$D$25,IF(AND(RIGHT(A31,2) &gt;='Tabla Vencimiento'!$A$26,RIGHT(A31,2) &lt;='Tabla Vencimiento'!$B$26),'Tabla Vencimiento'!$D$26,IF(AND(RIGHT(A31,2) &gt;='Tabla Vencimiento'!$A$27,RIGHT(A31,2) &lt;='Tabla Vencimiento'!$B$27),'Tabla Vencimiento'!$D$27,IF(AND(RIGHT(A31,2) &gt;='Tabla Vencimiento'!$A$28,RIGHT(A31,2) &lt;='Tabla Vencimiento'!$B$28),'Tabla Vencimiento'!$D$28,IF(AND(RIGHT(A31,2) &gt;='Tabla Vencimiento'!$A$29,RIGHT(A31,2) &lt;='Tabla Vencimiento'!$B$29),'Tabla Vencimiento'!$D$29,IF(AND(RIGHT(A31,2) &gt;='Tabla Vencimiento'!$A$30,RIGHT(A31,2) &lt;='Tabla Vencimiento'!$B$30),'Tabla Vencimiento'!$D$30,IF(AND(RIGHT(A31,2) &gt;='Tabla Vencimiento'!$A$31,RIGHT(A31,2) &lt;='Tabla Vencimiento'!$B$31),'Tabla Vencimiento'!$D$31,IF(AND(RIGHT(A31,2) &gt;='Tabla Vencimiento'!$A$32,RIGHT(A31,2) &lt;='Tabla Vencimiento'!$B$32),'Tabla Vencimiento'!$D$32,IF(AND(RIGHT(A31,2) &gt;='Tabla Vencimiento'!$A$33,RIGHT(A31,2) &lt;='Tabla Vencimiento'!$B$33),'Tabla Vencimiento'!$D$33,IF(AND(RIGHT(A31,2) &gt;='Tabla Vencimiento'!$A$34,RIGHT(A31,2) &lt;='Tabla Vencimiento'!$B$34),'Tabla Vencimiento'!$D$34,IF(AND(RIGHT(A31,2) &gt;='Tabla Vencimiento'!$A$35),'Tabla Vencimiento'!$D$35,0))))))))))))))))))))</f>
        <v>0</v>
      </c>
    </row>
    <row r="32" spans="1:12" x14ac:dyDescent="0.45">
      <c r="A32" s="52"/>
      <c r="B32" s="52"/>
      <c r="C32" s="52"/>
      <c r="D32" s="52"/>
      <c r="E32" s="52"/>
      <c r="F32" s="56" t="b">
        <f ca="1">IFERROR(+IF(MONTH(TODAY())=2,VLOOKUP(RIGHT(A32,1),'Tabla Vencimiento'!$A$3:$B$12,2,IF(MONTH(TODAY())=3,VLOOKUP(RIGHT(A32,1),'Tabla Vencimiento'!$A$3:$C$12,3),IF(MONTH(TODAY())=4,VLOOKUP(RIGHT(A32,1),'Tabla Vencimiento'!$A$3:$D$12,4),IF(MONTH(TODAY())=5,VLOOKUP(RIGHT(A32,1),'Tabla Vencimiento'!$A$3:$E$12,5,0),IF(MONTH(TODAY())=6,VLOOKUP(RIGHT(A32,1),'Tabla Vencimiento'!$A$3:$F$12,6),IF(MONTH(TODAY())=7,VLOOKUP(RIGHT(A32,1),'Tabla Vencimiento'!$A$3:$G$12,7),IF(MONTH(TODAY())=8,VLOOKUP(RIGHT(A32,1),'Tabla Vencimiento'!$A$3:$H$12,8),IF(MONTH(TODAY())=9,VLOOKUP(RIGHT(A32,1),'Tabla Vencimiento'!$A$3:$I$12,9),IF(MONTH(TODAY())=10,VLOOKUP(RIGHT(A32,1),'Tabla Vencimiento'!$A$3:$J$12,10),IF(MONTH(TODAY())=11,VLOOKUP(RIGHT(A32,1),'Tabla Vencimiento'!$A$3:$K$12,11),IF(MONTH(TODAY())=12,VLOOKUP(RIGHT(A32,1),'Tabla Vencimiento'!$A$3:$L$12,12),0)))))))))))),0)</f>
        <v>0</v>
      </c>
      <c r="G32" s="56">
        <f ca="1">IFERROR(+IF(C32="No Responsable", 0,+IF(D32="Tributación Simple", 0,+IF(AND(C32="Bimestral",MONTH(TODAY())-1&lt;=2),VLOOKUP(RIGHT(A32,1),'Tabla Vencimiento'!$A$3:$C$12,3,0),IF(AND(C32="Bimestral",MONTH(TODAY())-1&lt;=4),VLOOKUP(RIGHT(A32,1),'Tabla Vencimiento'!$A$3:$E$12,5,0),IF(AND(C32="Bimestral",MONTH(TODAY())-1&lt;=6),VLOOKUP(RIGHT(A32,1),'Tabla Vencimiento'!$A$3:$G$12,7,0),IF(AND(C32="Bimestral",MONTH(TODAY())-1&lt;=8),VLOOKUP(RIGHT(A32,1),'Tabla Vencimiento'!$A$3:$I$12,9,0),IF(AND(C32="Bimestral",MONTH(TODAY())-1=10),VLOOKUP(RIGHT(A32,1),'Tabla Vencimiento'!$A$3:$K$12,11,0),IF(AND(C32="Bimestral",MONTH(TODAY())-1&lt;=12),VLOOKUP(RIGHT(A32,1),'Tabla Vencimiento'!$A$3:$M$12,13,0),IF(AND(C32="Cuatrimestral",MONTH(TODAY())-1&lt;=4),VLOOKUP(RIGHT(A32,1),'Tabla Vencimiento'!$A$3:$E$12,5,0),IF(AND(C32="Cuatrimestral",MONTH(TODAY())-1&lt;=8),VLOOKUP(RIGHT(A32,1),'Tabla Vencimiento'!$A$3:$I$12,9,0),IF(AND(C32="Cuatrimestral",MONTH(TODAY())-1&lt;=12),VLOOKUP(RIGHT(A32,1),'Tabla Vencimiento'!$A$3:$M$12,13,0),0))))))))))),0)</f>
        <v>0</v>
      </c>
      <c r="H32" s="57">
        <f ca="1">+IF(AND(D32="Tributación Simple",MONTH(TODAY())=2),VLOOKUP(RIGHT(A32,1),'Tabla Vencimiento'!$I$17:$J$26,2,0),0)</f>
        <v>0</v>
      </c>
      <c r="I32" s="56">
        <f ca="1">+IF(AND(D32="Tributación Simple",MONTH(TODAY())=2),VLOOKUP(RIGHT(A32,1),'Tabla Vencimiento'!$A$39:$G$48,2,0),+IF(AND(D32="Tributación Simple",MONTH(TODAY())=4),VLOOKUP(RIGHT(A32,1),'Tabla Vencimiento'!$A$39:$G$48,3,0),+IF(AND(D32="Tributación Simple",MONTH(TODAY())=6),VLOOKUP(RIGHT(A32,1),'Tabla Vencimiento'!$A$39:$G$48,4,0),+IF(AND(D32="Tributación Simple",MONTH(TODAY())=8),VLOOKUP(RIGHT(A32,1),'Tabla Vencimiento'!$A$39:$G$48,5,0),+IF(AND(D32="Tributación Simple",MONTH(TODAY())=10),VLOOKUP(RIGHT(A32,1),'Tabla Vencimiento'!$A$39:$G$48,6,0),+IF(AND(D32="Tributación Simple",MONTH(TODAY())=12),VLOOKUP(RIGHT(A32,1),'Tabla Vencimiento'!$A$39:$G$48,7,0),0))))))</f>
        <v>0</v>
      </c>
      <c r="J32" s="56">
        <f>+IF(AND(D32="Ordinario",E32="PN"),VLOOKUP(RIGHT(A32,2),'Tabla Vencimiento'!$I$40:$J$139,2,0),+IF(AND(D32="Ordinario",E32="PN"),VLOOKUP(RIGHT(A32,2),'Tabla Vencimiento'!$J$40:$J$139,2,0),+IF(AND(D32="Tributación Simple",E32="PN"),0,+IF(AND(D32="Tributación Simple",E32="PJ"),0,+IF(AND(RIGHT(A32,2)&gt;='Tabla Vencimiento'!$A$16,RIGHT(A32,2)&lt;='Tabla Vencimiento'!$B$16),'Tabla Vencimiento'!$C$16,IF(AND(RIGHT(A32,2)&gt;='Tabla Vencimiento'!$A$17,RIGHT(A32,2)&lt;='Tabla Vencimiento'!$B$17),'Tabla Vencimiento'!$C$17,IF(AND(RIGHT(A32,2)&gt;='Tabla Vencimiento'!$A$18,RIGHT(A32,2)&lt;='Tabla Vencimiento'!$B$18),'Tabla Vencimiento'!$C$18,IF(AND(RIGHT(A32,2)&gt;='Tabla Vencimiento'!$A$19,RIGHT(A32,2)&lt;='Tabla Vencimiento'!$B$19),'Tabla Vencimiento'!$C$19,IF(AND(RIGHT(A32,2)&gt;='Tabla Vencimiento'!$A$20,RIGHT(A32,2)&lt;='Tabla Vencimiento'!$B$20),'Tabla Vencimiento'!$C$20,IF(AND(RIGHT(A32,2)&gt;='Tabla Vencimiento'!$A$21,RIGHT(A32,2)&lt;='Tabla Vencimiento'!$B$21),'Tabla Vencimiento'!$C$21,IF(AND(RIGHT(A32,2)&gt;='Tabla Vencimiento'!$A$22,RIGHT(A32,2)&lt;='Tabla Vencimiento'!$B$22),'Tabla Vencimiento'!$C$22,IF(AND(RIGHT(A32,2)&gt;='Tabla Vencimiento'!$A$23,RIGHT(A32,2)&lt;='Tabla Vencimiento'!$B$23),'Tabla Vencimiento'!$C$23,IF(AND(RIGHT(A32,2)&gt;='Tabla Vencimiento'!$A$24,RIGHT(A32,2)&lt;='Tabla Vencimiento'!$B$24),'Tabla Vencimiento'!$C$24,IF(AND(RIGHT(A32,2)&gt;='Tabla Vencimiento'!$A$25,RIGHT(A32,2)&lt;='Tabla Vencimiento'!$B$25),'Tabla Vencimiento'!$C$25,IF(AND(RIGHT(A32,2)&gt;='Tabla Vencimiento'!$A$26,RIGHT(A32,2)&lt;='Tabla Vencimiento'!$B$26),'Tabla Vencimiento'!$C$26,IF(AND(RIGHT(A32,2)&gt;='Tabla Vencimiento'!$A$27,RIGHT(A32,2)&lt;='Tabla Vencimiento'!$B$27),'Tabla Vencimiento'!$C$27,IF(AND(RIGHT(A32,2)&gt;='Tabla Vencimiento'!$A$28,RIGHT(A32,2)&lt;='Tabla Vencimiento'!$B$28),'Tabla Vencimiento'!$C$28,IF(AND(RIGHT(A32,2)&gt;='Tabla Vencimiento'!$A$29,RIGHT(A32,2)&lt;='Tabla Vencimiento'!$B$29),'Tabla Vencimiento'!$C$29,IF(AND(RIGHT(A32,2)&gt;='Tabla Vencimiento'!$A$30,RIGHT(A32,2)&lt;='Tabla Vencimiento'!$B$30),'Tabla Vencimiento'!$C$30,IF(AND(RIGHT(A32,2)&gt;='Tabla Vencimiento'!$A$31,RIGHT(A32,2)&lt;='Tabla Vencimiento'!$B$31),'Tabla Vencimiento'!$C$31,IF(AND(RIGHT(A32,2)&gt;='Tabla Vencimiento'!$A$32,RIGHT(A32,2)&lt;='Tabla Vencimiento'!$B$32),'Tabla Vencimiento'!$C$32,IF(AND(RIGHT(A32,2)&gt;='Tabla Vencimiento'!$A$33,RIGHT(A32,2)&lt;='Tabla Vencimiento'!$B$33),'Tabla Vencimiento'!$C$33,IF(AND(RIGHT(A32,2)&gt;='Tabla Vencimiento'!$A$34,RIGHT(A32,2)&lt;='Tabla Vencimiento'!$B$34),'Tabla Vencimiento'!$C$34,IF(AND(RIGHT(A32,2)&gt;='Tabla Vencimiento'!$A$35),'Tabla Vencimiento'!$C$35,0))))))))))))))))))))))))</f>
        <v>0</v>
      </c>
      <c r="K32" s="56">
        <f>+IF((D32="Tributación Simple"),VLOOKUP(RIGHT(A32,1),'Tabla Vencimiento'!$F$17:$G$26,2,0),0)</f>
        <v>0</v>
      </c>
      <c r="L32" s="56">
        <f>+IF(AND(RIGHT(A32,2) &gt;='Tabla Vencimiento'!$A$16,RIGHT(A32,2) &lt;='Tabla Vencimiento'!$B$16),'Tabla Vencimiento'!$D$16,IF(AND(RIGHT(A32,2) &gt;='Tabla Vencimiento'!$A$17,RIGHT(A32,2) &lt;='Tabla Vencimiento'!$B$17),'Tabla Vencimiento'!$D$17,IF(AND(RIGHT(A32,2) &gt;='Tabla Vencimiento'!$A$18,RIGHT(A32,2) &lt;='Tabla Vencimiento'!$B$18),'Tabla Vencimiento'!$D$18,IF(AND(RIGHT(A32,2) &gt;='Tabla Vencimiento'!$A$19,RIGHT(A32,2) &lt;='Tabla Vencimiento'!$B$19),'Tabla Vencimiento'!$D$19,IF(AND(RIGHT(A32,2) &gt;='Tabla Vencimiento'!$A$20,RIGHT(A32,2) &lt;='Tabla Vencimiento'!$B$20),'Tabla Vencimiento'!$D$20,IF(AND(RIGHT(A32,2) &gt;='Tabla Vencimiento'!$A$21,RIGHT(A32,2) &lt;='Tabla Vencimiento'!$B$21),'Tabla Vencimiento'!$D$21,IF(AND(RIGHT(A32,2) &gt;='Tabla Vencimiento'!$A$22,RIGHT(A32,2) &lt;='Tabla Vencimiento'!$B$22),'Tabla Vencimiento'!$D$22,IF(AND(RIGHT(A32,2) &gt;='Tabla Vencimiento'!$A$23,RIGHT(A32,2) &lt;='Tabla Vencimiento'!$B$23),'Tabla Vencimiento'!$D$23,IF(AND(RIGHT(A32,2) &gt;='Tabla Vencimiento'!$A$24,RIGHT(A32,2) &lt;='Tabla Vencimiento'!$B$24),'Tabla Vencimiento'!$D$24,IF(AND(RIGHT(A32,2) &gt;='Tabla Vencimiento'!$A$25,RIGHT(A32,2) &lt;='Tabla Vencimiento'!$B$25),'Tabla Vencimiento'!$D$25,IF(AND(RIGHT(A32,2) &gt;='Tabla Vencimiento'!$A$26,RIGHT(A32,2) &lt;='Tabla Vencimiento'!$B$26),'Tabla Vencimiento'!$D$26,IF(AND(RIGHT(A32,2) &gt;='Tabla Vencimiento'!$A$27,RIGHT(A32,2) &lt;='Tabla Vencimiento'!$B$27),'Tabla Vencimiento'!$D$27,IF(AND(RIGHT(A32,2) &gt;='Tabla Vencimiento'!$A$28,RIGHT(A32,2) &lt;='Tabla Vencimiento'!$B$28),'Tabla Vencimiento'!$D$28,IF(AND(RIGHT(A32,2) &gt;='Tabla Vencimiento'!$A$29,RIGHT(A32,2) &lt;='Tabla Vencimiento'!$B$29),'Tabla Vencimiento'!$D$29,IF(AND(RIGHT(A32,2) &gt;='Tabla Vencimiento'!$A$30,RIGHT(A32,2) &lt;='Tabla Vencimiento'!$B$30),'Tabla Vencimiento'!$D$30,IF(AND(RIGHT(A32,2) &gt;='Tabla Vencimiento'!$A$31,RIGHT(A32,2) &lt;='Tabla Vencimiento'!$B$31),'Tabla Vencimiento'!$D$31,IF(AND(RIGHT(A32,2) &gt;='Tabla Vencimiento'!$A$32,RIGHT(A32,2) &lt;='Tabla Vencimiento'!$B$32),'Tabla Vencimiento'!$D$32,IF(AND(RIGHT(A32,2) &gt;='Tabla Vencimiento'!$A$33,RIGHT(A32,2) &lt;='Tabla Vencimiento'!$B$33),'Tabla Vencimiento'!$D$33,IF(AND(RIGHT(A32,2) &gt;='Tabla Vencimiento'!$A$34,RIGHT(A32,2) &lt;='Tabla Vencimiento'!$B$34),'Tabla Vencimiento'!$D$34,IF(AND(RIGHT(A32,2) &gt;='Tabla Vencimiento'!$A$35),'Tabla Vencimiento'!$D$35,0))))))))))))))))))))</f>
        <v>0</v>
      </c>
    </row>
    <row r="33" spans="1:12" x14ac:dyDescent="0.45">
      <c r="A33" s="52"/>
      <c r="B33" s="52"/>
      <c r="C33" s="52"/>
      <c r="D33" s="52"/>
      <c r="E33" s="52"/>
      <c r="F33" s="56" t="b">
        <f ca="1">IFERROR(+IF(MONTH(TODAY())=2,VLOOKUP(RIGHT(A33,1),'Tabla Vencimiento'!$A$3:$B$12,2,IF(MONTH(TODAY())=3,VLOOKUP(RIGHT(A33,1),'Tabla Vencimiento'!$A$3:$C$12,3),IF(MONTH(TODAY())=4,VLOOKUP(RIGHT(A33,1),'Tabla Vencimiento'!$A$3:$D$12,4),IF(MONTH(TODAY())=5,VLOOKUP(RIGHT(A33,1),'Tabla Vencimiento'!$A$3:$E$12,5,0),IF(MONTH(TODAY())=6,VLOOKUP(RIGHT(A33,1),'Tabla Vencimiento'!$A$3:$F$12,6),IF(MONTH(TODAY())=7,VLOOKUP(RIGHT(A33,1),'Tabla Vencimiento'!$A$3:$G$12,7),IF(MONTH(TODAY())=8,VLOOKUP(RIGHT(A33,1),'Tabla Vencimiento'!$A$3:$H$12,8),IF(MONTH(TODAY())=9,VLOOKUP(RIGHT(A33,1),'Tabla Vencimiento'!$A$3:$I$12,9),IF(MONTH(TODAY())=10,VLOOKUP(RIGHT(A33,1),'Tabla Vencimiento'!$A$3:$J$12,10),IF(MONTH(TODAY())=11,VLOOKUP(RIGHT(A33,1),'Tabla Vencimiento'!$A$3:$K$12,11),IF(MONTH(TODAY())=12,VLOOKUP(RIGHT(A33,1),'Tabla Vencimiento'!$A$3:$L$12,12),0)))))))))))),0)</f>
        <v>0</v>
      </c>
      <c r="G33" s="56">
        <f ca="1">IFERROR(+IF(C33="No Responsable", 0,+IF(D33="Tributación Simple", 0,+IF(AND(C33="Bimestral",MONTH(TODAY())-1&lt;=2),VLOOKUP(RIGHT(A33,1),'Tabla Vencimiento'!$A$3:$C$12,3,0),IF(AND(C33="Bimestral",MONTH(TODAY())-1&lt;=4),VLOOKUP(RIGHT(A33,1),'Tabla Vencimiento'!$A$3:$E$12,5,0),IF(AND(C33="Bimestral",MONTH(TODAY())-1&lt;=6),VLOOKUP(RIGHT(A33,1),'Tabla Vencimiento'!$A$3:$G$12,7,0),IF(AND(C33="Bimestral",MONTH(TODAY())-1&lt;=8),VLOOKUP(RIGHT(A33,1),'Tabla Vencimiento'!$A$3:$I$12,9,0),IF(AND(C33="Bimestral",MONTH(TODAY())-1=10),VLOOKUP(RIGHT(A33,1),'Tabla Vencimiento'!$A$3:$K$12,11,0),IF(AND(C33="Bimestral",MONTH(TODAY())-1&lt;=12),VLOOKUP(RIGHT(A33,1),'Tabla Vencimiento'!$A$3:$M$12,13,0),IF(AND(C33="Cuatrimestral",MONTH(TODAY())-1&lt;=4),VLOOKUP(RIGHT(A33,1),'Tabla Vencimiento'!$A$3:$E$12,5,0),IF(AND(C33="Cuatrimestral",MONTH(TODAY())-1&lt;=8),VLOOKUP(RIGHT(A33,1),'Tabla Vencimiento'!$A$3:$I$12,9,0),IF(AND(C33="Cuatrimestral",MONTH(TODAY())-1&lt;=12),VLOOKUP(RIGHT(A33,1),'Tabla Vencimiento'!$A$3:$M$12,13,0),0))))))))))),0)</f>
        <v>0</v>
      </c>
      <c r="H33" s="57">
        <f ca="1">+IF(AND(D33="Tributación Simple",MONTH(TODAY())=2),VLOOKUP(RIGHT(A33,1),'Tabla Vencimiento'!$I$17:$J$26,2,0),0)</f>
        <v>0</v>
      </c>
      <c r="I33" s="56">
        <f ca="1">+IF(AND(D33="Tributación Simple",MONTH(TODAY())=2),VLOOKUP(RIGHT(A33,1),'Tabla Vencimiento'!$A$39:$G$48,2,0),+IF(AND(D33="Tributación Simple",MONTH(TODAY())=4),VLOOKUP(RIGHT(A33,1),'Tabla Vencimiento'!$A$39:$G$48,3,0),+IF(AND(D33="Tributación Simple",MONTH(TODAY())=6),VLOOKUP(RIGHT(A33,1),'Tabla Vencimiento'!$A$39:$G$48,4,0),+IF(AND(D33="Tributación Simple",MONTH(TODAY())=8),VLOOKUP(RIGHT(A33,1),'Tabla Vencimiento'!$A$39:$G$48,5,0),+IF(AND(D33="Tributación Simple",MONTH(TODAY())=10),VLOOKUP(RIGHT(A33,1),'Tabla Vencimiento'!$A$39:$G$48,6,0),+IF(AND(D33="Tributación Simple",MONTH(TODAY())=12),VLOOKUP(RIGHT(A33,1),'Tabla Vencimiento'!$A$39:$G$48,7,0),0))))))</f>
        <v>0</v>
      </c>
      <c r="J33" s="56">
        <f>+IF(AND(D33="Ordinario",E33="PN"),VLOOKUP(RIGHT(A33,2),'Tabla Vencimiento'!$I$40:$J$139,2,0),+IF(AND(D33="Ordinario",E33="PN"),VLOOKUP(RIGHT(A33,2),'Tabla Vencimiento'!$J$40:$J$139,2,0),+IF(AND(D33="Tributación Simple",E33="PN"),0,+IF(AND(D33="Tributación Simple",E33="PJ"),0,+IF(AND(RIGHT(A33,2)&gt;='Tabla Vencimiento'!$A$16,RIGHT(A33,2)&lt;='Tabla Vencimiento'!$B$16),'Tabla Vencimiento'!$C$16,IF(AND(RIGHT(A33,2)&gt;='Tabla Vencimiento'!$A$17,RIGHT(A33,2)&lt;='Tabla Vencimiento'!$B$17),'Tabla Vencimiento'!$C$17,IF(AND(RIGHT(A33,2)&gt;='Tabla Vencimiento'!$A$18,RIGHT(A33,2)&lt;='Tabla Vencimiento'!$B$18),'Tabla Vencimiento'!$C$18,IF(AND(RIGHT(A33,2)&gt;='Tabla Vencimiento'!$A$19,RIGHT(A33,2)&lt;='Tabla Vencimiento'!$B$19),'Tabla Vencimiento'!$C$19,IF(AND(RIGHT(A33,2)&gt;='Tabla Vencimiento'!$A$20,RIGHT(A33,2)&lt;='Tabla Vencimiento'!$B$20),'Tabla Vencimiento'!$C$20,IF(AND(RIGHT(A33,2)&gt;='Tabla Vencimiento'!$A$21,RIGHT(A33,2)&lt;='Tabla Vencimiento'!$B$21),'Tabla Vencimiento'!$C$21,IF(AND(RIGHT(A33,2)&gt;='Tabla Vencimiento'!$A$22,RIGHT(A33,2)&lt;='Tabla Vencimiento'!$B$22),'Tabla Vencimiento'!$C$22,IF(AND(RIGHT(A33,2)&gt;='Tabla Vencimiento'!$A$23,RIGHT(A33,2)&lt;='Tabla Vencimiento'!$B$23),'Tabla Vencimiento'!$C$23,IF(AND(RIGHT(A33,2)&gt;='Tabla Vencimiento'!$A$24,RIGHT(A33,2)&lt;='Tabla Vencimiento'!$B$24),'Tabla Vencimiento'!$C$24,IF(AND(RIGHT(A33,2)&gt;='Tabla Vencimiento'!$A$25,RIGHT(A33,2)&lt;='Tabla Vencimiento'!$B$25),'Tabla Vencimiento'!$C$25,IF(AND(RIGHT(A33,2)&gt;='Tabla Vencimiento'!$A$26,RIGHT(A33,2)&lt;='Tabla Vencimiento'!$B$26),'Tabla Vencimiento'!$C$26,IF(AND(RIGHT(A33,2)&gt;='Tabla Vencimiento'!$A$27,RIGHT(A33,2)&lt;='Tabla Vencimiento'!$B$27),'Tabla Vencimiento'!$C$27,IF(AND(RIGHT(A33,2)&gt;='Tabla Vencimiento'!$A$28,RIGHT(A33,2)&lt;='Tabla Vencimiento'!$B$28),'Tabla Vencimiento'!$C$28,IF(AND(RIGHT(A33,2)&gt;='Tabla Vencimiento'!$A$29,RIGHT(A33,2)&lt;='Tabla Vencimiento'!$B$29),'Tabla Vencimiento'!$C$29,IF(AND(RIGHT(A33,2)&gt;='Tabla Vencimiento'!$A$30,RIGHT(A33,2)&lt;='Tabla Vencimiento'!$B$30),'Tabla Vencimiento'!$C$30,IF(AND(RIGHT(A33,2)&gt;='Tabla Vencimiento'!$A$31,RIGHT(A33,2)&lt;='Tabla Vencimiento'!$B$31),'Tabla Vencimiento'!$C$31,IF(AND(RIGHT(A33,2)&gt;='Tabla Vencimiento'!$A$32,RIGHT(A33,2)&lt;='Tabla Vencimiento'!$B$32),'Tabla Vencimiento'!$C$32,IF(AND(RIGHT(A33,2)&gt;='Tabla Vencimiento'!$A$33,RIGHT(A33,2)&lt;='Tabla Vencimiento'!$B$33),'Tabla Vencimiento'!$C$33,IF(AND(RIGHT(A33,2)&gt;='Tabla Vencimiento'!$A$34,RIGHT(A33,2)&lt;='Tabla Vencimiento'!$B$34),'Tabla Vencimiento'!$C$34,IF(AND(RIGHT(A33,2)&gt;='Tabla Vencimiento'!$A$35),'Tabla Vencimiento'!$C$35,0))))))))))))))))))))))))</f>
        <v>0</v>
      </c>
      <c r="K33" s="56">
        <f>+IF((D33="Tributación Simple"),VLOOKUP(RIGHT(A33,1),'Tabla Vencimiento'!$F$17:$G$26,2,0),0)</f>
        <v>0</v>
      </c>
      <c r="L33" s="56">
        <f>+IF(AND(RIGHT(A33,2) &gt;='Tabla Vencimiento'!$A$16,RIGHT(A33,2) &lt;='Tabla Vencimiento'!$B$16),'Tabla Vencimiento'!$D$16,IF(AND(RIGHT(A33,2) &gt;='Tabla Vencimiento'!$A$17,RIGHT(A33,2) &lt;='Tabla Vencimiento'!$B$17),'Tabla Vencimiento'!$D$17,IF(AND(RIGHT(A33,2) &gt;='Tabla Vencimiento'!$A$18,RIGHT(A33,2) &lt;='Tabla Vencimiento'!$B$18),'Tabla Vencimiento'!$D$18,IF(AND(RIGHT(A33,2) &gt;='Tabla Vencimiento'!$A$19,RIGHT(A33,2) &lt;='Tabla Vencimiento'!$B$19),'Tabla Vencimiento'!$D$19,IF(AND(RIGHT(A33,2) &gt;='Tabla Vencimiento'!$A$20,RIGHT(A33,2) &lt;='Tabla Vencimiento'!$B$20),'Tabla Vencimiento'!$D$20,IF(AND(RIGHT(A33,2) &gt;='Tabla Vencimiento'!$A$21,RIGHT(A33,2) &lt;='Tabla Vencimiento'!$B$21),'Tabla Vencimiento'!$D$21,IF(AND(RIGHT(A33,2) &gt;='Tabla Vencimiento'!$A$22,RIGHT(A33,2) &lt;='Tabla Vencimiento'!$B$22),'Tabla Vencimiento'!$D$22,IF(AND(RIGHT(A33,2) &gt;='Tabla Vencimiento'!$A$23,RIGHT(A33,2) &lt;='Tabla Vencimiento'!$B$23),'Tabla Vencimiento'!$D$23,IF(AND(RIGHT(A33,2) &gt;='Tabla Vencimiento'!$A$24,RIGHT(A33,2) &lt;='Tabla Vencimiento'!$B$24),'Tabla Vencimiento'!$D$24,IF(AND(RIGHT(A33,2) &gt;='Tabla Vencimiento'!$A$25,RIGHT(A33,2) &lt;='Tabla Vencimiento'!$B$25),'Tabla Vencimiento'!$D$25,IF(AND(RIGHT(A33,2) &gt;='Tabla Vencimiento'!$A$26,RIGHT(A33,2) &lt;='Tabla Vencimiento'!$B$26),'Tabla Vencimiento'!$D$26,IF(AND(RIGHT(A33,2) &gt;='Tabla Vencimiento'!$A$27,RIGHT(A33,2) &lt;='Tabla Vencimiento'!$B$27),'Tabla Vencimiento'!$D$27,IF(AND(RIGHT(A33,2) &gt;='Tabla Vencimiento'!$A$28,RIGHT(A33,2) &lt;='Tabla Vencimiento'!$B$28),'Tabla Vencimiento'!$D$28,IF(AND(RIGHT(A33,2) &gt;='Tabla Vencimiento'!$A$29,RIGHT(A33,2) &lt;='Tabla Vencimiento'!$B$29),'Tabla Vencimiento'!$D$29,IF(AND(RIGHT(A33,2) &gt;='Tabla Vencimiento'!$A$30,RIGHT(A33,2) &lt;='Tabla Vencimiento'!$B$30),'Tabla Vencimiento'!$D$30,IF(AND(RIGHT(A33,2) &gt;='Tabla Vencimiento'!$A$31,RIGHT(A33,2) &lt;='Tabla Vencimiento'!$B$31),'Tabla Vencimiento'!$D$31,IF(AND(RIGHT(A33,2) &gt;='Tabla Vencimiento'!$A$32,RIGHT(A33,2) &lt;='Tabla Vencimiento'!$B$32),'Tabla Vencimiento'!$D$32,IF(AND(RIGHT(A33,2) &gt;='Tabla Vencimiento'!$A$33,RIGHT(A33,2) &lt;='Tabla Vencimiento'!$B$33),'Tabla Vencimiento'!$D$33,IF(AND(RIGHT(A33,2) &gt;='Tabla Vencimiento'!$A$34,RIGHT(A33,2) &lt;='Tabla Vencimiento'!$B$34),'Tabla Vencimiento'!$D$34,IF(AND(RIGHT(A33,2) &gt;='Tabla Vencimiento'!$A$35),'Tabla Vencimiento'!$D$35,0))))))))))))))))))))</f>
        <v>0</v>
      </c>
    </row>
    <row r="34" spans="1:12" x14ac:dyDescent="0.45">
      <c r="A34" s="52"/>
      <c r="B34" s="52"/>
      <c r="C34" s="52"/>
      <c r="D34" s="52"/>
      <c r="E34" s="52"/>
      <c r="F34" s="56" t="b">
        <f ca="1">IFERROR(+IF(MONTH(TODAY())=2,VLOOKUP(RIGHT(A34,1),'Tabla Vencimiento'!$A$3:$B$12,2,IF(MONTH(TODAY())=3,VLOOKUP(RIGHT(A34,1),'Tabla Vencimiento'!$A$3:$C$12,3),IF(MONTH(TODAY())=4,VLOOKUP(RIGHT(A34,1),'Tabla Vencimiento'!$A$3:$D$12,4),IF(MONTH(TODAY())=5,VLOOKUP(RIGHT(A34,1),'Tabla Vencimiento'!$A$3:$E$12,5,0),IF(MONTH(TODAY())=6,VLOOKUP(RIGHT(A34,1),'Tabla Vencimiento'!$A$3:$F$12,6),IF(MONTH(TODAY())=7,VLOOKUP(RIGHT(A34,1),'Tabla Vencimiento'!$A$3:$G$12,7),IF(MONTH(TODAY())=8,VLOOKUP(RIGHT(A34,1),'Tabla Vencimiento'!$A$3:$H$12,8),IF(MONTH(TODAY())=9,VLOOKUP(RIGHT(A34,1),'Tabla Vencimiento'!$A$3:$I$12,9),IF(MONTH(TODAY())=10,VLOOKUP(RIGHT(A34,1),'Tabla Vencimiento'!$A$3:$J$12,10),IF(MONTH(TODAY())=11,VLOOKUP(RIGHT(A34,1),'Tabla Vencimiento'!$A$3:$K$12,11),IF(MONTH(TODAY())=12,VLOOKUP(RIGHT(A34,1),'Tabla Vencimiento'!$A$3:$L$12,12),0)))))))))))),0)</f>
        <v>0</v>
      </c>
      <c r="G34" s="56">
        <f ca="1">IFERROR(+IF(C34="No Responsable", 0,+IF(D34="Tributación Simple", 0,+IF(AND(C34="Bimestral",MONTH(TODAY())-1&lt;=2),VLOOKUP(RIGHT(A34,1),'Tabla Vencimiento'!$A$3:$C$12,3,0),IF(AND(C34="Bimestral",MONTH(TODAY())-1&lt;=4),VLOOKUP(RIGHT(A34,1),'Tabla Vencimiento'!$A$3:$E$12,5,0),IF(AND(C34="Bimestral",MONTH(TODAY())-1&lt;=6),VLOOKUP(RIGHT(A34,1),'Tabla Vencimiento'!$A$3:$G$12,7,0),IF(AND(C34="Bimestral",MONTH(TODAY())-1&lt;=8),VLOOKUP(RIGHT(A34,1),'Tabla Vencimiento'!$A$3:$I$12,9,0),IF(AND(C34="Bimestral",MONTH(TODAY())-1=10),VLOOKUP(RIGHT(A34,1),'Tabla Vencimiento'!$A$3:$K$12,11,0),IF(AND(C34="Bimestral",MONTH(TODAY())-1&lt;=12),VLOOKUP(RIGHT(A34,1),'Tabla Vencimiento'!$A$3:$M$12,13,0),IF(AND(C34="Cuatrimestral",MONTH(TODAY())-1&lt;=4),VLOOKUP(RIGHT(A34,1),'Tabla Vencimiento'!$A$3:$E$12,5,0),IF(AND(C34="Cuatrimestral",MONTH(TODAY())-1&lt;=8),VLOOKUP(RIGHT(A34,1),'Tabla Vencimiento'!$A$3:$I$12,9,0),IF(AND(C34="Cuatrimestral",MONTH(TODAY())-1&lt;=12),VLOOKUP(RIGHT(A34,1),'Tabla Vencimiento'!$A$3:$M$12,13,0),0))))))))))),0)</f>
        <v>0</v>
      </c>
      <c r="H34" s="57">
        <f ca="1">+IF(AND(D34="Tributación Simple",MONTH(TODAY())=2),VLOOKUP(RIGHT(A34,1),'Tabla Vencimiento'!$I$17:$J$26,2,0),0)</f>
        <v>0</v>
      </c>
      <c r="I34" s="56">
        <f ca="1">+IF(AND(D34="Tributación Simple",MONTH(TODAY())=2),VLOOKUP(RIGHT(A34,1),'Tabla Vencimiento'!$A$39:$G$48,2,0),+IF(AND(D34="Tributación Simple",MONTH(TODAY())=4),VLOOKUP(RIGHT(A34,1),'Tabla Vencimiento'!$A$39:$G$48,3,0),+IF(AND(D34="Tributación Simple",MONTH(TODAY())=6),VLOOKUP(RIGHT(A34,1),'Tabla Vencimiento'!$A$39:$G$48,4,0),+IF(AND(D34="Tributación Simple",MONTH(TODAY())=8),VLOOKUP(RIGHT(A34,1),'Tabla Vencimiento'!$A$39:$G$48,5,0),+IF(AND(D34="Tributación Simple",MONTH(TODAY())=10),VLOOKUP(RIGHT(A34,1),'Tabla Vencimiento'!$A$39:$G$48,6,0),+IF(AND(D34="Tributación Simple",MONTH(TODAY())=12),VLOOKUP(RIGHT(A34,1),'Tabla Vencimiento'!$A$39:$G$48,7,0),0))))))</f>
        <v>0</v>
      </c>
      <c r="J34" s="56">
        <f>+IF(AND(D34="Ordinario",E34="PN"),VLOOKUP(RIGHT(A34,2),'Tabla Vencimiento'!$I$40:$J$139,2,0),+IF(AND(D34="Ordinario",E34="PN"),VLOOKUP(RIGHT(A34,2),'Tabla Vencimiento'!$J$40:$J$139,2,0),+IF(AND(D34="Tributación Simple",E34="PN"),0,+IF(AND(D34="Tributación Simple",E34="PJ"),0,+IF(AND(RIGHT(A34,2)&gt;='Tabla Vencimiento'!$A$16,RIGHT(A34,2)&lt;='Tabla Vencimiento'!$B$16),'Tabla Vencimiento'!$C$16,IF(AND(RIGHT(A34,2)&gt;='Tabla Vencimiento'!$A$17,RIGHT(A34,2)&lt;='Tabla Vencimiento'!$B$17),'Tabla Vencimiento'!$C$17,IF(AND(RIGHT(A34,2)&gt;='Tabla Vencimiento'!$A$18,RIGHT(A34,2)&lt;='Tabla Vencimiento'!$B$18),'Tabla Vencimiento'!$C$18,IF(AND(RIGHT(A34,2)&gt;='Tabla Vencimiento'!$A$19,RIGHT(A34,2)&lt;='Tabla Vencimiento'!$B$19),'Tabla Vencimiento'!$C$19,IF(AND(RIGHT(A34,2)&gt;='Tabla Vencimiento'!$A$20,RIGHT(A34,2)&lt;='Tabla Vencimiento'!$B$20),'Tabla Vencimiento'!$C$20,IF(AND(RIGHT(A34,2)&gt;='Tabla Vencimiento'!$A$21,RIGHT(A34,2)&lt;='Tabla Vencimiento'!$B$21),'Tabla Vencimiento'!$C$21,IF(AND(RIGHT(A34,2)&gt;='Tabla Vencimiento'!$A$22,RIGHT(A34,2)&lt;='Tabla Vencimiento'!$B$22),'Tabla Vencimiento'!$C$22,IF(AND(RIGHT(A34,2)&gt;='Tabla Vencimiento'!$A$23,RIGHT(A34,2)&lt;='Tabla Vencimiento'!$B$23),'Tabla Vencimiento'!$C$23,IF(AND(RIGHT(A34,2)&gt;='Tabla Vencimiento'!$A$24,RIGHT(A34,2)&lt;='Tabla Vencimiento'!$B$24),'Tabla Vencimiento'!$C$24,IF(AND(RIGHT(A34,2)&gt;='Tabla Vencimiento'!$A$25,RIGHT(A34,2)&lt;='Tabla Vencimiento'!$B$25),'Tabla Vencimiento'!$C$25,IF(AND(RIGHT(A34,2)&gt;='Tabla Vencimiento'!$A$26,RIGHT(A34,2)&lt;='Tabla Vencimiento'!$B$26),'Tabla Vencimiento'!$C$26,IF(AND(RIGHT(A34,2)&gt;='Tabla Vencimiento'!$A$27,RIGHT(A34,2)&lt;='Tabla Vencimiento'!$B$27),'Tabla Vencimiento'!$C$27,IF(AND(RIGHT(A34,2)&gt;='Tabla Vencimiento'!$A$28,RIGHT(A34,2)&lt;='Tabla Vencimiento'!$B$28),'Tabla Vencimiento'!$C$28,IF(AND(RIGHT(A34,2)&gt;='Tabla Vencimiento'!$A$29,RIGHT(A34,2)&lt;='Tabla Vencimiento'!$B$29),'Tabla Vencimiento'!$C$29,IF(AND(RIGHT(A34,2)&gt;='Tabla Vencimiento'!$A$30,RIGHT(A34,2)&lt;='Tabla Vencimiento'!$B$30),'Tabla Vencimiento'!$C$30,IF(AND(RIGHT(A34,2)&gt;='Tabla Vencimiento'!$A$31,RIGHT(A34,2)&lt;='Tabla Vencimiento'!$B$31),'Tabla Vencimiento'!$C$31,IF(AND(RIGHT(A34,2)&gt;='Tabla Vencimiento'!$A$32,RIGHT(A34,2)&lt;='Tabla Vencimiento'!$B$32),'Tabla Vencimiento'!$C$32,IF(AND(RIGHT(A34,2)&gt;='Tabla Vencimiento'!$A$33,RIGHT(A34,2)&lt;='Tabla Vencimiento'!$B$33),'Tabla Vencimiento'!$C$33,IF(AND(RIGHT(A34,2)&gt;='Tabla Vencimiento'!$A$34,RIGHT(A34,2)&lt;='Tabla Vencimiento'!$B$34),'Tabla Vencimiento'!$C$34,IF(AND(RIGHT(A34,2)&gt;='Tabla Vencimiento'!$A$35),'Tabla Vencimiento'!$C$35,0))))))))))))))))))))))))</f>
        <v>0</v>
      </c>
      <c r="K34" s="56">
        <f>+IF((D34="Tributación Simple"),VLOOKUP(RIGHT(A34,1),'Tabla Vencimiento'!$F$17:$G$26,2,0),0)</f>
        <v>0</v>
      </c>
      <c r="L34" s="56">
        <f>+IF(AND(RIGHT(A34,2) &gt;='Tabla Vencimiento'!$A$16,RIGHT(A34,2) &lt;='Tabla Vencimiento'!$B$16),'Tabla Vencimiento'!$D$16,IF(AND(RIGHT(A34,2) &gt;='Tabla Vencimiento'!$A$17,RIGHT(A34,2) &lt;='Tabla Vencimiento'!$B$17),'Tabla Vencimiento'!$D$17,IF(AND(RIGHT(A34,2) &gt;='Tabla Vencimiento'!$A$18,RIGHT(A34,2) &lt;='Tabla Vencimiento'!$B$18),'Tabla Vencimiento'!$D$18,IF(AND(RIGHT(A34,2) &gt;='Tabla Vencimiento'!$A$19,RIGHT(A34,2) &lt;='Tabla Vencimiento'!$B$19),'Tabla Vencimiento'!$D$19,IF(AND(RIGHT(A34,2) &gt;='Tabla Vencimiento'!$A$20,RIGHT(A34,2) &lt;='Tabla Vencimiento'!$B$20),'Tabla Vencimiento'!$D$20,IF(AND(RIGHT(A34,2) &gt;='Tabla Vencimiento'!$A$21,RIGHT(A34,2) &lt;='Tabla Vencimiento'!$B$21),'Tabla Vencimiento'!$D$21,IF(AND(RIGHT(A34,2) &gt;='Tabla Vencimiento'!$A$22,RIGHT(A34,2) &lt;='Tabla Vencimiento'!$B$22),'Tabla Vencimiento'!$D$22,IF(AND(RIGHT(A34,2) &gt;='Tabla Vencimiento'!$A$23,RIGHT(A34,2) &lt;='Tabla Vencimiento'!$B$23),'Tabla Vencimiento'!$D$23,IF(AND(RIGHT(A34,2) &gt;='Tabla Vencimiento'!$A$24,RIGHT(A34,2) &lt;='Tabla Vencimiento'!$B$24),'Tabla Vencimiento'!$D$24,IF(AND(RIGHT(A34,2) &gt;='Tabla Vencimiento'!$A$25,RIGHT(A34,2) &lt;='Tabla Vencimiento'!$B$25),'Tabla Vencimiento'!$D$25,IF(AND(RIGHT(A34,2) &gt;='Tabla Vencimiento'!$A$26,RIGHT(A34,2) &lt;='Tabla Vencimiento'!$B$26),'Tabla Vencimiento'!$D$26,IF(AND(RIGHT(A34,2) &gt;='Tabla Vencimiento'!$A$27,RIGHT(A34,2) &lt;='Tabla Vencimiento'!$B$27),'Tabla Vencimiento'!$D$27,IF(AND(RIGHT(A34,2) &gt;='Tabla Vencimiento'!$A$28,RIGHT(A34,2) &lt;='Tabla Vencimiento'!$B$28),'Tabla Vencimiento'!$D$28,IF(AND(RIGHT(A34,2) &gt;='Tabla Vencimiento'!$A$29,RIGHT(A34,2) &lt;='Tabla Vencimiento'!$B$29),'Tabla Vencimiento'!$D$29,IF(AND(RIGHT(A34,2) &gt;='Tabla Vencimiento'!$A$30,RIGHT(A34,2) &lt;='Tabla Vencimiento'!$B$30),'Tabla Vencimiento'!$D$30,IF(AND(RIGHT(A34,2) &gt;='Tabla Vencimiento'!$A$31,RIGHT(A34,2) &lt;='Tabla Vencimiento'!$B$31),'Tabla Vencimiento'!$D$31,IF(AND(RIGHT(A34,2) &gt;='Tabla Vencimiento'!$A$32,RIGHT(A34,2) &lt;='Tabla Vencimiento'!$B$32),'Tabla Vencimiento'!$D$32,IF(AND(RIGHT(A34,2) &gt;='Tabla Vencimiento'!$A$33,RIGHT(A34,2) &lt;='Tabla Vencimiento'!$B$33),'Tabla Vencimiento'!$D$33,IF(AND(RIGHT(A34,2) &gt;='Tabla Vencimiento'!$A$34,RIGHT(A34,2) &lt;='Tabla Vencimiento'!$B$34),'Tabla Vencimiento'!$D$34,IF(AND(RIGHT(A34,2) &gt;='Tabla Vencimiento'!$A$35),'Tabla Vencimiento'!$D$35,0))))))))))))))))))))</f>
        <v>0</v>
      </c>
    </row>
    <row r="35" spans="1:12" x14ac:dyDescent="0.45">
      <c r="A35" s="52"/>
      <c r="B35" s="52"/>
      <c r="C35" s="52"/>
      <c r="D35" s="52"/>
      <c r="E35" s="52"/>
      <c r="F35" s="56" t="b">
        <f ca="1">IFERROR(+IF(MONTH(TODAY())=2,VLOOKUP(RIGHT(A35,1),'Tabla Vencimiento'!$A$3:$B$12,2,IF(MONTH(TODAY())=3,VLOOKUP(RIGHT(A35,1),'Tabla Vencimiento'!$A$3:$C$12,3),IF(MONTH(TODAY())=4,VLOOKUP(RIGHT(A35,1),'Tabla Vencimiento'!$A$3:$D$12,4),IF(MONTH(TODAY())=5,VLOOKUP(RIGHT(A35,1),'Tabla Vencimiento'!$A$3:$E$12,5,0),IF(MONTH(TODAY())=6,VLOOKUP(RIGHT(A35,1),'Tabla Vencimiento'!$A$3:$F$12,6),IF(MONTH(TODAY())=7,VLOOKUP(RIGHT(A35,1),'Tabla Vencimiento'!$A$3:$G$12,7),IF(MONTH(TODAY())=8,VLOOKUP(RIGHT(A35,1),'Tabla Vencimiento'!$A$3:$H$12,8),IF(MONTH(TODAY())=9,VLOOKUP(RIGHT(A35,1),'Tabla Vencimiento'!$A$3:$I$12,9),IF(MONTH(TODAY())=10,VLOOKUP(RIGHT(A35,1),'Tabla Vencimiento'!$A$3:$J$12,10),IF(MONTH(TODAY())=11,VLOOKUP(RIGHT(A35,1),'Tabla Vencimiento'!$A$3:$K$12,11),IF(MONTH(TODAY())=12,VLOOKUP(RIGHT(A35,1),'Tabla Vencimiento'!$A$3:$L$12,12),0)))))))))))),0)</f>
        <v>0</v>
      </c>
      <c r="G35" s="56">
        <f ca="1">IFERROR(+IF(C35="No Responsable", 0,+IF(D35="Tributación Simple", 0,+IF(AND(C35="Bimestral",MONTH(TODAY())-1&lt;=2),VLOOKUP(RIGHT(A35,1),'Tabla Vencimiento'!$A$3:$C$12,3,0),IF(AND(C35="Bimestral",MONTH(TODAY())-1&lt;=4),VLOOKUP(RIGHT(A35,1),'Tabla Vencimiento'!$A$3:$E$12,5,0),IF(AND(C35="Bimestral",MONTH(TODAY())-1&lt;=6),VLOOKUP(RIGHT(A35,1),'Tabla Vencimiento'!$A$3:$G$12,7,0),IF(AND(C35="Bimestral",MONTH(TODAY())-1&lt;=8),VLOOKUP(RIGHT(A35,1),'Tabla Vencimiento'!$A$3:$I$12,9,0),IF(AND(C35="Bimestral",MONTH(TODAY())-1=10),VLOOKUP(RIGHT(A35,1),'Tabla Vencimiento'!$A$3:$K$12,11,0),IF(AND(C35="Bimestral",MONTH(TODAY())-1&lt;=12),VLOOKUP(RIGHT(A35,1),'Tabla Vencimiento'!$A$3:$M$12,13,0),IF(AND(C35="Cuatrimestral",MONTH(TODAY())-1&lt;=4),VLOOKUP(RIGHT(A35,1),'Tabla Vencimiento'!$A$3:$E$12,5,0),IF(AND(C35="Cuatrimestral",MONTH(TODAY())-1&lt;=8),VLOOKUP(RIGHT(A35,1),'Tabla Vencimiento'!$A$3:$I$12,9,0),IF(AND(C35="Cuatrimestral",MONTH(TODAY())-1&lt;=12),VLOOKUP(RIGHT(A35,1),'Tabla Vencimiento'!$A$3:$M$12,13,0),0))))))))))),0)</f>
        <v>0</v>
      </c>
      <c r="H35" s="57">
        <f ca="1">+IF(AND(D35="Tributación Simple",MONTH(TODAY())=2),VLOOKUP(RIGHT(A35,1),'Tabla Vencimiento'!$I$17:$J$26,2,0),0)</f>
        <v>0</v>
      </c>
      <c r="I35" s="56">
        <f ca="1">+IF(AND(D35="Tributación Simple",MONTH(TODAY())=2),VLOOKUP(RIGHT(A35,1),'Tabla Vencimiento'!$A$39:$G$48,2,0),+IF(AND(D35="Tributación Simple",MONTH(TODAY())=4),VLOOKUP(RIGHT(A35,1),'Tabla Vencimiento'!$A$39:$G$48,3,0),+IF(AND(D35="Tributación Simple",MONTH(TODAY())=6),VLOOKUP(RIGHT(A35,1),'Tabla Vencimiento'!$A$39:$G$48,4,0),+IF(AND(D35="Tributación Simple",MONTH(TODAY())=8),VLOOKUP(RIGHT(A35,1),'Tabla Vencimiento'!$A$39:$G$48,5,0),+IF(AND(D35="Tributación Simple",MONTH(TODAY())=10),VLOOKUP(RIGHT(A35,1),'Tabla Vencimiento'!$A$39:$G$48,6,0),+IF(AND(D35="Tributación Simple",MONTH(TODAY())=12),VLOOKUP(RIGHT(A35,1),'Tabla Vencimiento'!$A$39:$G$48,7,0),0))))))</f>
        <v>0</v>
      </c>
      <c r="J35" s="56">
        <f>+IF(AND(D35="Ordinario",E35="PN"),VLOOKUP(RIGHT(A35,2),'Tabla Vencimiento'!$I$40:$J$139,2,0),+IF(AND(D35="Ordinario",E35="PN"),VLOOKUP(RIGHT(A35,2),'Tabla Vencimiento'!$J$40:$J$139,2,0),+IF(AND(D35="Tributación Simple",E35="PN"),0,+IF(AND(D35="Tributación Simple",E35="PJ"),0,+IF(AND(RIGHT(A35,2)&gt;='Tabla Vencimiento'!$A$16,RIGHT(A35,2)&lt;='Tabla Vencimiento'!$B$16),'Tabla Vencimiento'!$C$16,IF(AND(RIGHT(A35,2)&gt;='Tabla Vencimiento'!$A$17,RIGHT(A35,2)&lt;='Tabla Vencimiento'!$B$17),'Tabla Vencimiento'!$C$17,IF(AND(RIGHT(A35,2)&gt;='Tabla Vencimiento'!$A$18,RIGHT(A35,2)&lt;='Tabla Vencimiento'!$B$18),'Tabla Vencimiento'!$C$18,IF(AND(RIGHT(A35,2)&gt;='Tabla Vencimiento'!$A$19,RIGHT(A35,2)&lt;='Tabla Vencimiento'!$B$19),'Tabla Vencimiento'!$C$19,IF(AND(RIGHT(A35,2)&gt;='Tabla Vencimiento'!$A$20,RIGHT(A35,2)&lt;='Tabla Vencimiento'!$B$20),'Tabla Vencimiento'!$C$20,IF(AND(RIGHT(A35,2)&gt;='Tabla Vencimiento'!$A$21,RIGHT(A35,2)&lt;='Tabla Vencimiento'!$B$21),'Tabla Vencimiento'!$C$21,IF(AND(RIGHT(A35,2)&gt;='Tabla Vencimiento'!$A$22,RIGHT(A35,2)&lt;='Tabla Vencimiento'!$B$22),'Tabla Vencimiento'!$C$22,IF(AND(RIGHT(A35,2)&gt;='Tabla Vencimiento'!$A$23,RIGHT(A35,2)&lt;='Tabla Vencimiento'!$B$23),'Tabla Vencimiento'!$C$23,IF(AND(RIGHT(A35,2)&gt;='Tabla Vencimiento'!$A$24,RIGHT(A35,2)&lt;='Tabla Vencimiento'!$B$24),'Tabla Vencimiento'!$C$24,IF(AND(RIGHT(A35,2)&gt;='Tabla Vencimiento'!$A$25,RIGHT(A35,2)&lt;='Tabla Vencimiento'!$B$25),'Tabla Vencimiento'!$C$25,IF(AND(RIGHT(A35,2)&gt;='Tabla Vencimiento'!$A$26,RIGHT(A35,2)&lt;='Tabla Vencimiento'!$B$26),'Tabla Vencimiento'!$C$26,IF(AND(RIGHT(A35,2)&gt;='Tabla Vencimiento'!$A$27,RIGHT(A35,2)&lt;='Tabla Vencimiento'!$B$27),'Tabla Vencimiento'!$C$27,IF(AND(RIGHT(A35,2)&gt;='Tabla Vencimiento'!$A$28,RIGHT(A35,2)&lt;='Tabla Vencimiento'!$B$28),'Tabla Vencimiento'!$C$28,IF(AND(RIGHT(A35,2)&gt;='Tabla Vencimiento'!$A$29,RIGHT(A35,2)&lt;='Tabla Vencimiento'!$B$29),'Tabla Vencimiento'!$C$29,IF(AND(RIGHT(A35,2)&gt;='Tabla Vencimiento'!$A$30,RIGHT(A35,2)&lt;='Tabla Vencimiento'!$B$30),'Tabla Vencimiento'!$C$30,IF(AND(RIGHT(A35,2)&gt;='Tabla Vencimiento'!$A$31,RIGHT(A35,2)&lt;='Tabla Vencimiento'!$B$31),'Tabla Vencimiento'!$C$31,IF(AND(RIGHT(A35,2)&gt;='Tabla Vencimiento'!$A$32,RIGHT(A35,2)&lt;='Tabla Vencimiento'!$B$32),'Tabla Vencimiento'!$C$32,IF(AND(RIGHT(A35,2)&gt;='Tabla Vencimiento'!$A$33,RIGHT(A35,2)&lt;='Tabla Vencimiento'!$B$33),'Tabla Vencimiento'!$C$33,IF(AND(RIGHT(A35,2)&gt;='Tabla Vencimiento'!$A$34,RIGHT(A35,2)&lt;='Tabla Vencimiento'!$B$34),'Tabla Vencimiento'!$C$34,IF(AND(RIGHT(A35,2)&gt;='Tabla Vencimiento'!$A$35),'Tabla Vencimiento'!$C$35,0))))))))))))))))))))))))</f>
        <v>0</v>
      </c>
      <c r="K35" s="56">
        <f>+IF((D35="Tributación Simple"),VLOOKUP(RIGHT(A35,1),'Tabla Vencimiento'!$F$17:$G$26,2,0),0)</f>
        <v>0</v>
      </c>
      <c r="L35" s="56">
        <f>+IF(AND(RIGHT(A35,2) &gt;='Tabla Vencimiento'!$A$16,RIGHT(A35,2) &lt;='Tabla Vencimiento'!$B$16),'Tabla Vencimiento'!$D$16,IF(AND(RIGHT(A35,2) &gt;='Tabla Vencimiento'!$A$17,RIGHT(A35,2) &lt;='Tabla Vencimiento'!$B$17),'Tabla Vencimiento'!$D$17,IF(AND(RIGHT(A35,2) &gt;='Tabla Vencimiento'!$A$18,RIGHT(A35,2) &lt;='Tabla Vencimiento'!$B$18),'Tabla Vencimiento'!$D$18,IF(AND(RIGHT(A35,2) &gt;='Tabla Vencimiento'!$A$19,RIGHT(A35,2) &lt;='Tabla Vencimiento'!$B$19),'Tabla Vencimiento'!$D$19,IF(AND(RIGHT(A35,2) &gt;='Tabla Vencimiento'!$A$20,RIGHT(A35,2) &lt;='Tabla Vencimiento'!$B$20),'Tabla Vencimiento'!$D$20,IF(AND(RIGHT(A35,2) &gt;='Tabla Vencimiento'!$A$21,RIGHT(A35,2) &lt;='Tabla Vencimiento'!$B$21),'Tabla Vencimiento'!$D$21,IF(AND(RIGHT(A35,2) &gt;='Tabla Vencimiento'!$A$22,RIGHT(A35,2) &lt;='Tabla Vencimiento'!$B$22),'Tabla Vencimiento'!$D$22,IF(AND(RIGHT(A35,2) &gt;='Tabla Vencimiento'!$A$23,RIGHT(A35,2) &lt;='Tabla Vencimiento'!$B$23),'Tabla Vencimiento'!$D$23,IF(AND(RIGHT(A35,2) &gt;='Tabla Vencimiento'!$A$24,RIGHT(A35,2) &lt;='Tabla Vencimiento'!$B$24),'Tabla Vencimiento'!$D$24,IF(AND(RIGHT(A35,2) &gt;='Tabla Vencimiento'!$A$25,RIGHT(A35,2) &lt;='Tabla Vencimiento'!$B$25),'Tabla Vencimiento'!$D$25,IF(AND(RIGHT(A35,2) &gt;='Tabla Vencimiento'!$A$26,RIGHT(A35,2) &lt;='Tabla Vencimiento'!$B$26),'Tabla Vencimiento'!$D$26,IF(AND(RIGHT(A35,2) &gt;='Tabla Vencimiento'!$A$27,RIGHT(A35,2) &lt;='Tabla Vencimiento'!$B$27),'Tabla Vencimiento'!$D$27,IF(AND(RIGHT(A35,2) &gt;='Tabla Vencimiento'!$A$28,RIGHT(A35,2) &lt;='Tabla Vencimiento'!$B$28),'Tabla Vencimiento'!$D$28,IF(AND(RIGHT(A35,2) &gt;='Tabla Vencimiento'!$A$29,RIGHT(A35,2) &lt;='Tabla Vencimiento'!$B$29),'Tabla Vencimiento'!$D$29,IF(AND(RIGHT(A35,2) &gt;='Tabla Vencimiento'!$A$30,RIGHT(A35,2) &lt;='Tabla Vencimiento'!$B$30),'Tabla Vencimiento'!$D$30,IF(AND(RIGHT(A35,2) &gt;='Tabla Vencimiento'!$A$31,RIGHT(A35,2) &lt;='Tabla Vencimiento'!$B$31),'Tabla Vencimiento'!$D$31,IF(AND(RIGHT(A35,2) &gt;='Tabla Vencimiento'!$A$32,RIGHT(A35,2) &lt;='Tabla Vencimiento'!$B$32),'Tabla Vencimiento'!$D$32,IF(AND(RIGHT(A35,2) &gt;='Tabla Vencimiento'!$A$33,RIGHT(A35,2) &lt;='Tabla Vencimiento'!$B$33),'Tabla Vencimiento'!$D$33,IF(AND(RIGHT(A35,2) &gt;='Tabla Vencimiento'!$A$34,RIGHT(A35,2) &lt;='Tabla Vencimiento'!$B$34),'Tabla Vencimiento'!$D$34,IF(AND(RIGHT(A35,2) &gt;='Tabla Vencimiento'!$A$35),'Tabla Vencimiento'!$D$35,0))))))))))))))))))))</f>
        <v>0</v>
      </c>
    </row>
    <row r="36" spans="1:12" x14ac:dyDescent="0.45">
      <c r="A36" s="52"/>
      <c r="B36" s="52"/>
      <c r="C36" s="52"/>
      <c r="D36" s="52"/>
      <c r="E36" s="52"/>
      <c r="F36" s="56" t="b">
        <f ca="1">IFERROR(+IF(MONTH(TODAY())=2,VLOOKUP(RIGHT(A36,1),'Tabla Vencimiento'!$A$3:$B$12,2,IF(MONTH(TODAY())=3,VLOOKUP(RIGHT(A36,1),'Tabla Vencimiento'!$A$3:$C$12,3),IF(MONTH(TODAY())=4,VLOOKUP(RIGHT(A36,1),'Tabla Vencimiento'!$A$3:$D$12,4),IF(MONTH(TODAY())=5,VLOOKUP(RIGHT(A36,1),'Tabla Vencimiento'!$A$3:$E$12,5,0),IF(MONTH(TODAY())=6,VLOOKUP(RIGHT(A36,1),'Tabla Vencimiento'!$A$3:$F$12,6),IF(MONTH(TODAY())=7,VLOOKUP(RIGHT(A36,1),'Tabla Vencimiento'!$A$3:$G$12,7),IF(MONTH(TODAY())=8,VLOOKUP(RIGHT(A36,1),'Tabla Vencimiento'!$A$3:$H$12,8),IF(MONTH(TODAY())=9,VLOOKUP(RIGHT(A36,1),'Tabla Vencimiento'!$A$3:$I$12,9),IF(MONTH(TODAY())=10,VLOOKUP(RIGHT(A36,1),'Tabla Vencimiento'!$A$3:$J$12,10),IF(MONTH(TODAY())=11,VLOOKUP(RIGHT(A36,1),'Tabla Vencimiento'!$A$3:$K$12,11),IF(MONTH(TODAY())=12,VLOOKUP(RIGHT(A36,1),'Tabla Vencimiento'!$A$3:$L$12,12),0)))))))))))),0)</f>
        <v>0</v>
      </c>
      <c r="G36" s="56">
        <f ca="1">IFERROR(+IF(C36="No Responsable", 0,+IF(D36="Tributación Simple", 0,+IF(AND(C36="Bimestral",MONTH(TODAY())-1&lt;=2),VLOOKUP(RIGHT(A36,1),'Tabla Vencimiento'!$A$3:$C$12,3,0),IF(AND(C36="Bimestral",MONTH(TODAY())-1&lt;=4),VLOOKUP(RIGHT(A36,1),'Tabla Vencimiento'!$A$3:$E$12,5,0),IF(AND(C36="Bimestral",MONTH(TODAY())-1&lt;=6),VLOOKUP(RIGHT(A36,1),'Tabla Vencimiento'!$A$3:$G$12,7,0),IF(AND(C36="Bimestral",MONTH(TODAY())-1&lt;=8),VLOOKUP(RIGHT(A36,1),'Tabla Vencimiento'!$A$3:$I$12,9,0),IF(AND(C36="Bimestral",MONTH(TODAY())-1=10),VLOOKUP(RIGHT(A36,1),'Tabla Vencimiento'!$A$3:$K$12,11,0),IF(AND(C36="Bimestral",MONTH(TODAY())-1&lt;=12),VLOOKUP(RIGHT(A36,1),'Tabla Vencimiento'!$A$3:$M$12,13,0),IF(AND(C36="Cuatrimestral",MONTH(TODAY())-1&lt;=4),VLOOKUP(RIGHT(A36,1),'Tabla Vencimiento'!$A$3:$E$12,5,0),IF(AND(C36="Cuatrimestral",MONTH(TODAY())-1&lt;=8),VLOOKUP(RIGHT(A36,1),'Tabla Vencimiento'!$A$3:$I$12,9,0),IF(AND(C36="Cuatrimestral",MONTH(TODAY())-1&lt;=12),VLOOKUP(RIGHT(A36,1),'Tabla Vencimiento'!$A$3:$M$12,13,0),0))))))))))),0)</f>
        <v>0</v>
      </c>
      <c r="H36" s="57">
        <f ca="1">+IF(AND(D36="Tributación Simple",MONTH(TODAY())=2),VLOOKUP(RIGHT(A36,1),'Tabla Vencimiento'!$I$17:$J$26,2,0),0)</f>
        <v>0</v>
      </c>
      <c r="I36" s="56">
        <f ca="1">+IF(AND(D36="Tributación Simple",MONTH(TODAY())=2),VLOOKUP(RIGHT(A36,1),'Tabla Vencimiento'!$A$39:$G$48,2,0),+IF(AND(D36="Tributación Simple",MONTH(TODAY())=4),VLOOKUP(RIGHT(A36,1),'Tabla Vencimiento'!$A$39:$G$48,3,0),+IF(AND(D36="Tributación Simple",MONTH(TODAY())=6),VLOOKUP(RIGHT(A36,1),'Tabla Vencimiento'!$A$39:$G$48,4,0),+IF(AND(D36="Tributación Simple",MONTH(TODAY())=8),VLOOKUP(RIGHT(A36,1),'Tabla Vencimiento'!$A$39:$G$48,5,0),+IF(AND(D36="Tributación Simple",MONTH(TODAY())=10),VLOOKUP(RIGHT(A36,1),'Tabla Vencimiento'!$A$39:$G$48,6,0),+IF(AND(D36="Tributación Simple",MONTH(TODAY())=12),VLOOKUP(RIGHT(A36,1),'Tabla Vencimiento'!$A$39:$G$48,7,0),0))))))</f>
        <v>0</v>
      </c>
      <c r="J36" s="56">
        <f>+IF(AND(D36="Ordinario",E36="PN"),VLOOKUP(RIGHT(A36,2),'Tabla Vencimiento'!$I$40:$J$139,2,0),+IF(AND(D36="Ordinario",E36="PN"),VLOOKUP(RIGHT(A36,2),'Tabla Vencimiento'!$J$40:$J$139,2,0),+IF(AND(D36="Tributación Simple",E36="PN"),0,+IF(AND(D36="Tributación Simple",E36="PJ"),0,+IF(AND(RIGHT(A36,2)&gt;='Tabla Vencimiento'!$A$16,RIGHT(A36,2)&lt;='Tabla Vencimiento'!$B$16),'Tabla Vencimiento'!$C$16,IF(AND(RIGHT(A36,2)&gt;='Tabla Vencimiento'!$A$17,RIGHT(A36,2)&lt;='Tabla Vencimiento'!$B$17),'Tabla Vencimiento'!$C$17,IF(AND(RIGHT(A36,2)&gt;='Tabla Vencimiento'!$A$18,RIGHT(A36,2)&lt;='Tabla Vencimiento'!$B$18),'Tabla Vencimiento'!$C$18,IF(AND(RIGHT(A36,2)&gt;='Tabla Vencimiento'!$A$19,RIGHT(A36,2)&lt;='Tabla Vencimiento'!$B$19),'Tabla Vencimiento'!$C$19,IF(AND(RIGHT(A36,2)&gt;='Tabla Vencimiento'!$A$20,RIGHT(A36,2)&lt;='Tabla Vencimiento'!$B$20),'Tabla Vencimiento'!$C$20,IF(AND(RIGHT(A36,2)&gt;='Tabla Vencimiento'!$A$21,RIGHT(A36,2)&lt;='Tabla Vencimiento'!$B$21),'Tabla Vencimiento'!$C$21,IF(AND(RIGHT(A36,2)&gt;='Tabla Vencimiento'!$A$22,RIGHT(A36,2)&lt;='Tabla Vencimiento'!$B$22),'Tabla Vencimiento'!$C$22,IF(AND(RIGHT(A36,2)&gt;='Tabla Vencimiento'!$A$23,RIGHT(A36,2)&lt;='Tabla Vencimiento'!$B$23),'Tabla Vencimiento'!$C$23,IF(AND(RIGHT(A36,2)&gt;='Tabla Vencimiento'!$A$24,RIGHT(A36,2)&lt;='Tabla Vencimiento'!$B$24),'Tabla Vencimiento'!$C$24,IF(AND(RIGHT(A36,2)&gt;='Tabla Vencimiento'!$A$25,RIGHT(A36,2)&lt;='Tabla Vencimiento'!$B$25),'Tabla Vencimiento'!$C$25,IF(AND(RIGHT(A36,2)&gt;='Tabla Vencimiento'!$A$26,RIGHT(A36,2)&lt;='Tabla Vencimiento'!$B$26),'Tabla Vencimiento'!$C$26,IF(AND(RIGHT(A36,2)&gt;='Tabla Vencimiento'!$A$27,RIGHT(A36,2)&lt;='Tabla Vencimiento'!$B$27),'Tabla Vencimiento'!$C$27,IF(AND(RIGHT(A36,2)&gt;='Tabla Vencimiento'!$A$28,RIGHT(A36,2)&lt;='Tabla Vencimiento'!$B$28),'Tabla Vencimiento'!$C$28,IF(AND(RIGHT(A36,2)&gt;='Tabla Vencimiento'!$A$29,RIGHT(A36,2)&lt;='Tabla Vencimiento'!$B$29),'Tabla Vencimiento'!$C$29,IF(AND(RIGHT(A36,2)&gt;='Tabla Vencimiento'!$A$30,RIGHT(A36,2)&lt;='Tabla Vencimiento'!$B$30),'Tabla Vencimiento'!$C$30,IF(AND(RIGHT(A36,2)&gt;='Tabla Vencimiento'!$A$31,RIGHT(A36,2)&lt;='Tabla Vencimiento'!$B$31),'Tabla Vencimiento'!$C$31,IF(AND(RIGHT(A36,2)&gt;='Tabla Vencimiento'!$A$32,RIGHT(A36,2)&lt;='Tabla Vencimiento'!$B$32),'Tabla Vencimiento'!$C$32,IF(AND(RIGHT(A36,2)&gt;='Tabla Vencimiento'!$A$33,RIGHT(A36,2)&lt;='Tabla Vencimiento'!$B$33),'Tabla Vencimiento'!$C$33,IF(AND(RIGHT(A36,2)&gt;='Tabla Vencimiento'!$A$34,RIGHT(A36,2)&lt;='Tabla Vencimiento'!$B$34),'Tabla Vencimiento'!$C$34,IF(AND(RIGHT(A36,2)&gt;='Tabla Vencimiento'!$A$35),'Tabla Vencimiento'!$C$35,0))))))))))))))))))))))))</f>
        <v>0</v>
      </c>
      <c r="K36" s="56">
        <f>+IF((D36="Tributación Simple"),VLOOKUP(RIGHT(A36,1),'Tabla Vencimiento'!$F$17:$G$26,2,0),0)</f>
        <v>0</v>
      </c>
      <c r="L36" s="56">
        <f>+IF(AND(RIGHT(A36,2) &gt;='Tabla Vencimiento'!$A$16,RIGHT(A36,2) &lt;='Tabla Vencimiento'!$B$16),'Tabla Vencimiento'!$D$16,IF(AND(RIGHT(A36,2) &gt;='Tabla Vencimiento'!$A$17,RIGHT(A36,2) &lt;='Tabla Vencimiento'!$B$17),'Tabla Vencimiento'!$D$17,IF(AND(RIGHT(A36,2) &gt;='Tabla Vencimiento'!$A$18,RIGHT(A36,2) &lt;='Tabla Vencimiento'!$B$18),'Tabla Vencimiento'!$D$18,IF(AND(RIGHT(A36,2) &gt;='Tabla Vencimiento'!$A$19,RIGHT(A36,2) &lt;='Tabla Vencimiento'!$B$19),'Tabla Vencimiento'!$D$19,IF(AND(RIGHT(A36,2) &gt;='Tabla Vencimiento'!$A$20,RIGHT(A36,2) &lt;='Tabla Vencimiento'!$B$20),'Tabla Vencimiento'!$D$20,IF(AND(RIGHT(A36,2) &gt;='Tabla Vencimiento'!$A$21,RIGHT(A36,2) &lt;='Tabla Vencimiento'!$B$21),'Tabla Vencimiento'!$D$21,IF(AND(RIGHT(A36,2) &gt;='Tabla Vencimiento'!$A$22,RIGHT(A36,2) &lt;='Tabla Vencimiento'!$B$22),'Tabla Vencimiento'!$D$22,IF(AND(RIGHT(A36,2) &gt;='Tabla Vencimiento'!$A$23,RIGHT(A36,2) &lt;='Tabla Vencimiento'!$B$23),'Tabla Vencimiento'!$D$23,IF(AND(RIGHT(A36,2) &gt;='Tabla Vencimiento'!$A$24,RIGHT(A36,2) &lt;='Tabla Vencimiento'!$B$24),'Tabla Vencimiento'!$D$24,IF(AND(RIGHT(A36,2) &gt;='Tabla Vencimiento'!$A$25,RIGHT(A36,2) &lt;='Tabla Vencimiento'!$B$25),'Tabla Vencimiento'!$D$25,IF(AND(RIGHT(A36,2) &gt;='Tabla Vencimiento'!$A$26,RIGHT(A36,2) &lt;='Tabla Vencimiento'!$B$26),'Tabla Vencimiento'!$D$26,IF(AND(RIGHT(A36,2) &gt;='Tabla Vencimiento'!$A$27,RIGHT(A36,2) &lt;='Tabla Vencimiento'!$B$27),'Tabla Vencimiento'!$D$27,IF(AND(RIGHT(A36,2) &gt;='Tabla Vencimiento'!$A$28,RIGHT(A36,2) &lt;='Tabla Vencimiento'!$B$28),'Tabla Vencimiento'!$D$28,IF(AND(RIGHT(A36,2) &gt;='Tabla Vencimiento'!$A$29,RIGHT(A36,2) &lt;='Tabla Vencimiento'!$B$29),'Tabla Vencimiento'!$D$29,IF(AND(RIGHT(A36,2) &gt;='Tabla Vencimiento'!$A$30,RIGHT(A36,2) &lt;='Tabla Vencimiento'!$B$30),'Tabla Vencimiento'!$D$30,IF(AND(RIGHT(A36,2) &gt;='Tabla Vencimiento'!$A$31,RIGHT(A36,2) &lt;='Tabla Vencimiento'!$B$31),'Tabla Vencimiento'!$D$31,IF(AND(RIGHT(A36,2) &gt;='Tabla Vencimiento'!$A$32,RIGHT(A36,2) &lt;='Tabla Vencimiento'!$B$32),'Tabla Vencimiento'!$D$32,IF(AND(RIGHT(A36,2) &gt;='Tabla Vencimiento'!$A$33,RIGHT(A36,2) &lt;='Tabla Vencimiento'!$B$33),'Tabla Vencimiento'!$D$33,IF(AND(RIGHT(A36,2) &gt;='Tabla Vencimiento'!$A$34,RIGHT(A36,2) &lt;='Tabla Vencimiento'!$B$34),'Tabla Vencimiento'!$D$34,IF(AND(RIGHT(A36,2) &gt;='Tabla Vencimiento'!$A$35),'Tabla Vencimiento'!$D$35,0))))))))))))))))))))</f>
        <v>0</v>
      </c>
    </row>
    <row r="37" spans="1:12" x14ac:dyDescent="0.45">
      <c r="A37" s="52"/>
      <c r="B37" s="52"/>
      <c r="C37" s="52"/>
      <c r="D37" s="52"/>
      <c r="E37" s="52"/>
      <c r="F37" s="56" t="b">
        <f ca="1">IFERROR(+IF(MONTH(TODAY())=2,VLOOKUP(RIGHT(A37,1),'Tabla Vencimiento'!$A$3:$B$12,2,IF(MONTH(TODAY())=3,VLOOKUP(RIGHT(A37,1),'Tabla Vencimiento'!$A$3:$C$12,3),IF(MONTH(TODAY())=4,VLOOKUP(RIGHT(A37,1),'Tabla Vencimiento'!$A$3:$D$12,4),IF(MONTH(TODAY())=5,VLOOKUP(RIGHT(A37,1),'Tabla Vencimiento'!$A$3:$E$12,5,0),IF(MONTH(TODAY())=6,VLOOKUP(RIGHT(A37,1),'Tabla Vencimiento'!$A$3:$F$12,6),IF(MONTH(TODAY())=7,VLOOKUP(RIGHT(A37,1),'Tabla Vencimiento'!$A$3:$G$12,7),IF(MONTH(TODAY())=8,VLOOKUP(RIGHT(A37,1),'Tabla Vencimiento'!$A$3:$H$12,8),IF(MONTH(TODAY())=9,VLOOKUP(RIGHT(A37,1),'Tabla Vencimiento'!$A$3:$I$12,9),IF(MONTH(TODAY())=10,VLOOKUP(RIGHT(A37,1),'Tabla Vencimiento'!$A$3:$J$12,10),IF(MONTH(TODAY())=11,VLOOKUP(RIGHT(A37,1),'Tabla Vencimiento'!$A$3:$K$12,11),IF(MONTH(TODAY())=12,VLOOKUP(RIGHT(A37,1),'Tabla Vencimiento'!$A$3:$L$12,12),0)))))))))))),0)</f>
        <v>0</v>
      </c>
      <c r="G37" s="56">
        <f ca="1">IFERROR(+IF(C37="No Responsable", 0,+IF(D37="Tributación Simple", 0,+IF(AND(C37="Bimestral",MONTH(TODAY())-1&lt;=2),VLOOKUP(RIGHT(A37,1),'Tabla Vencimiento'!$A$3:$C$12,3,0),IF(AND(C37="Bimestral",MONTH(TODAY())-1&lt;=4),VLOOKUP(RIGHT(A37,1),'Tabla Vencimiento'!$A$3:$E$12,5,0),IF(AND(C37="Bimestral",MONTH(TODAY())-1&lt;=6),VLOOKUP(RIGHT(A37,1),'Tabla Vencimiento'!$A$3:$G$12,7,0),IF(AND(C37="Bimestral",MONTH(TODAY())-1&lt;=8),VLOOKUP(RIGHT(A37,1),'Tabla Vencimiento'!$A$3:$I$12,9,0),IF(AND(C37="Bimestral",MONTH(TODAY())-1=10),VLOOKUP(RIGHT(A37,1),'Tabla Vencimiento'!$A$3:$K$12,11,0),IF(AND(C37="Bimestral",MONTH(TODAY())-1&lt;=12),VLOOKUP(RIGHT(A37,1),'Tabla Vencimiento'!$A$3:$M$12,13,0),IF(AND(C37="Cuatrimestral",MONTH(TODAY())-1&lt;=4),VLOOKUP(RIGHT(A37,1),'Tabla Vencimiento'!$A$3:$E$12,5,0),IF(AND(C37="Cuatrimestral",MONTH(TODAY())-1&lt;=8),VLOOKUP(RIGHT(A37,1),'Tabla Vencimiento'!$A$3:$I$12,9,0),IF(AND(C37="Cuatrimestral",MONTH(TODAY())-1&lt;=12),VLOOKUP(RIGHT(A37,1),'Tabla Vencimiento'!$A$3:$M$12,13,0),0))))))))))),0)</f>
        <v>0</v>
      </c>
      <c r="H37" s="57">
        <f ca="1">+IF(AND(D37="Tributación Simple",MONTH(TODAY())=2),VLOOKUP(RIGHT(A37,1),'Tabla Vencimiento'!$I$17:$J$26,2,0),0)</f>
        <v>0</v>
      </c>
      <c r="I37" s="56">
        <f ca="1">+IF(AND(D37="Tributación Simple",MONTH(TODAY())=2),VLOOKUP(RIGHT(A37,1),'Tabla Vencimiento'!$A$39:$G$48,2,0),+IF(AND(D37="Tributación Simple",MONTH(TODAY())=4),VLOOKUP(RIGHT(A37,1),'Tabla Vencimiento'!$A$39:$G$48,3,0),+IF(AND(D37="Tributación Simple",MONTH(TODAY())=6),VLOOKUP(RIGHT(A37,1),'Tabla Vencimiento'!$A$39:$G$48,4,0),+IF(AND(D37="Tributación Simple",MONTH(TODAY())=8),VLOOKUP(RIGHT(A37,1),'Tabla Vencimiento'!$A$39:$G$48,5,0),+IF(AND(D37="Tributación Simple",MONTH(TODAY())=10),VLOOKUP(RIGHT(A37,1),'Tabla Vencimiento'!$A$39:$G$48,6,0),+IF(AND(D37="Tributación Simple",MONTH(TODAY())=12),VLOOKUP(RIGHT(A37,1),'Tabla Vencimiento'!$A$39:$G$48,7,0),0))))))</f>
        <v>0</v>
      </c>
      <c r="J37" s="56">
        <f>+IF(AND(D37="Ordinario",E37="PN"),VLOOKUP(RIGHT(A37,2),'Tabla Vencimiento'!$I$40:$J$139,2,0),+IF(AND(D37="Ordinario",E37="PN"),VLOOKUP(RIGHT(A37,2),'Tabla Vencimiento'!$J$40:$J$139,2,0),+IF(AND(D37="Tributación Simple",E37="PN"),0,+IF(AND(D37="Tributación Simple",E37="PJ"),0,+IF(AND(RIGHT(A37,2)&gt;='Tabla Vencimiento'!$A$16,RIGHT(A37,2)&lt;='Tabla Vencimiento'!$B$16),'Tabla Vencimiento'!$C$16,IF(AND(RIGHT(A37,2)&gt;='Tabla Vencimiento'!$A$17,RIGHT(A37,2)&lt;='Tabla Vencimiento'!$B$17),'Tabla Vencimiento'!$C$17,IF(AND(RIGHT(A37,2)&gt;='Tabla Vencimiento'!$A$18,RIGHT(A37,2)&lt;='Tabla Vencimiento'!$B$18),'Tabla Vencimiento'!$C$18,IF(AND(RIGHT(A37,2)&gt;='Tabla Vencimiento'!$A$19,RIGHT(A37,2)&lt;='Tabla Vencimiento'!$B$19),'Tabla Vencimiento'!$C$19,IF(AND(RIGHT(A37,2)&gt;='Tabla Vencimiento'!$A$20,RIGHT(A37,2)&lt;='Tabla Vencimiento'!$B$20),'Tabla Vencimiento'!$C$20,IF(AND(RIGHT(A37,2)&gt;='Tabla Vencimiento'!$A$21,RIGHT(A37,2)&lt;='Tabla Vencimiento'!$B$21),'Tabla Vencimiento'!$C$21,IF(AND(RIGHT(A37,2)&gt;='Tabla Vencimiento'!$A$22,RIGHT(A37,2)&lt;='Tabla Vencimiento'!$B$22),'Tabla Vencimiento'!$C$22,IF(AND(RIGHT(A37,2)&gt;='Tabla Vencimiento'!$A$23,RIGHT(A37,2)&lt;='Tabla Vencimiento'!$B$23),'Tabla Vencimiento'!$C$23,IF(AND(RIGHT(A37,2)&gt;='Tabla Vencimiento'!$A$24,RIGHT(A37,2)&lt;='Tabla Vencimiento'!$B$24),'Tabla Vencimiento'!$C$24,IF(AND(RIGHT(A37,2)&gt;='Tabla Vencimiento'!$A$25,RIGHT(A37,2)&lt;='Tabla Vencimiento'!$B$25),'Tabla Vencimiento'!$C$25,IF(AND(RIGHT(A37,2)&gt;='Tabla Vencimiento'!$A$26,RIGHT(A37,2)&lt;='Tabla Vencimiento'!$B$26),'Tabla Vencimiento'!$C$26,IF(AND(RIGHT(A37,2)&gt;='Tabla Vencimiento'!$A$27,RIGHT(A37,2)&lt;='Tabla Vencimiento'!$B$27),'Tabla Vencimiento'!$C$27,IF(AND(RIGHT(A37,2)&gt;='Tabla Vencimiento'!$A$28,RIGHT(A37,2)&lt;='Tabla Vencimiento'!$B$28),'Tabla Vencimiento'!$C$28,IF(AND(RIGHT(A37,2)&gt;='Tabla Vencimiento'!$A$29,RIGHT(A37,2)&lt;='Tabla Vencimiento'!$B$29),'Tabla Vencimiento'!$C$29,IF(AND(RIGHT(A37,2)&gt;='Tabla Vencimiento'!$A$30,RIGHT(A37,2)&lt;='Tabla Vencimiento'!$B$30),'Tabla Vencimiento'!$C$30,IF(AND(RIGHT(A37,2)&gt;='Tabla Vencimiento'!$A$31,RIGHT(A37,2)&lt;='Tabla Vencimiento'!$B$31),'Tabla Vencimiento'!$C$31,IF(AND(RIGHT(A37,2)&gt;='Tabla Vencimiento'!$A$32,RIGHT(A37,2)&lt;='Tabla Vencimiento'!$B$32),'Tabla Vencimiento'!$C$32,IF(AND(RIGHT(A37,2)&gt;='Tabla Vencimiento'!$A$33,RIGHT(A37,2)&lt;='Tabla Vencimiento'!$B$33),'Tabla Vencimiento'!$C$33,IF(AND(RIGHT(A37,2)&gt;='Tabla Vencimiento'!$A$34,RIGHT(A37,2)&lt;='Tabla Vencimiento'!$B$34),'Tabla Vencimiento'!$C$34,IF(AND(RIGHT(A37,2)&gt;='Tabla Vencimiento'!$A$35),'Tabla Vencimiento'!$C$35,0))))))))))))))))))))))))</f>
        <v>0</v>
      </c>
      <c r="K37" s="56">
        <f>+IF((D37="Tributación Simple"),VLOOKUP(RIGHT(A37,1),'Tabla Vencimiento'!$F$17:$G$26,2,0),0)</f>
        <v>0</v>
      </c>
      <c r="L37" s="56">
        <f>+IF(AND(RIGHT(A37,2) &gt;='Tabla Vencimiento'!$A$16,RIGHT(A37,2) &lt;='Tabla Vencimiento'!$B$16),'Tabla Vencimiento'!$D$16,IF(AND(RIGHT(A37,2) &gt;='Tabla Vencimiento'!$A$17,RIGHT(A37,2) &lt;='Tabla Vencimiento'!$B$17),'Tabla Vencimiento'!$D$17,IF(AND(RIGHT(A37,2) &gt;='Tabla Vencimiento'!$A$18,RIGHT(A37,2) &lt;='Tabla Vencimiento'!$B$18),'Tabla Vencimiento'!$D$18,IF(AND(RIGHT(A37,2) &gt;='Tabla Vencimiento'!$A$19,RIGHT(A37,2) &lt;='Tabla Vencimiento'!$B$19),'Tabla Vencimiento'!$D$19,IF(AND(RIGHT(A37,2) &gt;='Tabla Vencimiento'!$A$20,RIGHT(A37,2) &lt;='Tabla Vencimiento'!$B$20),'Tabla Vencimiento'!$D$20,IF(AND(RIGHT(A37,2) &gt;='Tabla Vencimiento'!$A$21,RIGHT(A37,2) &lt;='Tabla Vencimiento'!$B$21),'Tabla Vencimiento'!$D$21,IF(AND(RIGHT(A37,2) &gt;='Tabla Vencimiento'!$A$22,RIGHT(A37,2) &lt;='Tabla Vencimiento'!$B$22),'Tabla Vencimiento'!$D$22,IF(AND(RIGHT(A37,2) &gt;='Tabla Vencimiento'!$A$23,RIGHT(A37,2) &lt;='Tabla Vencimiento'!$B$23),'Tabla Vencimiento'!$D$23,IF(AND(RIGHT(A37,2) &gt;='Tabla Vencimiento'!$A$24,RIGHT(A37,2) &lt;='Tabla Vencimiento'!$B$24),'Tabla Vencimiento'!$D$24,IF(AND(RIGHT(A37,2) &gt;='Tabla Vencimiento'!$A$25,RIGHT(A37,2) &lt;='Tabla Vencimiento'!$B$25),'Tabla Vencimiento'!$D$25,IF(AND(RIGHT(A37,2) &gt;='Tabla Vencimiento'!$A$26,RIGHT(A37,2) &lt;='Tabla Vencimiento'!$B$26),'Tabla Vencimiento'!$D$26,IF(AND(RIGHT(A37,2) &gt;='Tabla Vencimiento'!$A$27,RIGHT(A37,2) &lt;='Tabla Vencimiento'!$B$27),'Tabla Vencimiento'!$D$27,IF(AND(RIGHT(A37,2) &gt;='Tabla Vencimiento'!$A$28,RIGHT(A37,2) &lt;='Tabla Vencimiento'!$B$28),'Tabla Vencimiento'!$D$28,IF(AND(RIGHT(A37,2) &gt;='Tabla Vencimiento'!$A$29,RIGHT(A37,2) &lt;='Tabla Vencimiento'!$B$29),'Tabla Vencimiento'!$D$29,IF(AND(RIGHT(A37,2) &gt;='Tabla Vencimiento'!$A$30,RIGHT(A37,2) &lt;='Tabla Vencimiento'!$B$30),'Tabla Vencimiento'!$D$30,IF(AND(RIGHT(A37,2) &gt;='Tabla Vencimiento'!$A$31,RIGHT(A37,2) &lt;='Tabla Vencimiento'!$B$31),'Tabla Vencimiento'!$D$31,IF(AND(RIGHT(A37,2) &gt;='Tabla Vencimiento'!$A$32,RIGHT(A37,2) &lt;='Tabla Vencimiento'!$B$32),'Tabla Vencimiento'!$D$32,IF(AND(RIGHT(A37,2) &gt;='Tabla Vencimiento'!$A$33,RIGHT(A37,2) &lt;='Tabla Vencimiento'!$B$33),'Tabla Vencimiento'!$D$33,IF(AND(RIGHT(A37,2) &gt;='Tabla Vencimiento'!$A$34,RIGHT(A37,2) &lt;='Tabla Vencimiento'!$B$34),'Tabla Vencimiento'!$D$34,IF(AND(RIGHT(A37,2) &gt;='Tabla Vencimiento'!$A$35),'Tabla Vencimiento'!$D$35,0))))))))))))))))))))</f>
        <v>0</v>
      </c>
    </row>
    <row r="38" spans="1:12" x14ac:dyDescent="0.45">
      <c r="A38" s="52"/>
      <c r="B38" s="52"/>
      <c r="C38" s="52"/>
      <c r="D38" s="52"/>
      <c r="E38" s="52"/>
      <c r="F38" s="56" t="b">
        <f ca="1">IFERROR(+IF(MONTH(TODAY())=2,VLOOKUP(RIGHT(A38,1),'Tabla Vencimiento'!$A$3:$B$12,2,IF(MONTH(TODAY())=3,VLOOKUP(RIGHT(A38,1),'Tabla Vencimiento'!$A$3:$C$12,3),IF(MONTH(TODAY())=4,VLOOKUP(RIGHT(A38,1),'Tabla Vencimiento'!$A$3:$D$12,4),IF(MONTH(TODAY())=5,VLOOKUP(RIGHT(A38,1),'Tabla Vencimiento'!$A$3:$E$12,5,0),IF(MONTH(TODAY())=6,VLOOKUP(RIGHT(A38,1),'Tabla Vencimiento'!$A$3:$F$12,6),IF(MONTH(TODAY())=7,VLOOKUP(RIGHT(A38,1),'Tabla Vencimiento'!$A$3:$G$12,7),IF(MONTH(TODAY())=8,VLOOKUP(RIGHT(A38,1),'Tabla Vencimiento'!$A$3:$H$12,8),IF(MONTH(TODAY())=9,VLOOKUP(RIGHT(A38,1),'Tabla Vencimiento'!$A$3:$I$12,9),IF(MONTH(TODAY())=10,VLOOKUP(RIGHT(A38,1),'Tabla Vencimiento'!$A$3:$J$12,10),IF(MONTH(TODAY())=11,VLOOKUP(RIGHT(A38,1),'Tabla Vencimiento'!$A$3:$K$12,11),IF(MONTH(TODAY())=12,VLOOKUP(RIGHT(A38,1),'Tabla Vencimiento'!$A$3:$L$12,12),0)))))))))))),0)</f>
        <v>0</v>
      </c>
      <c r="G38" s="56">
        <f ca="1">IFERROR(+IF(C38="No Responsable", 0,+IF(D38="Tributación Simple", 0,+IF(AND(C38="Bimestral",MONTH(TODAY())-1&lt;=2),VLOOKUP(RIGHT(A38,1),'Tabla Vencimiento'!$A$3:$C$12,3,0),IF(AND(C38="Bimestral",MONTH(TODAY())-1&lt;=4),VLOOKUP(RIGHT(A38,1),'Tabla Vencimiento'!$A$3:$E$12,5,0),IF(AND(C38="Bimestral",MONTH(TODAY())-1&lt;=6),VLOOKUP(RIGHT(A38,1),'Tabla Vencimiento'!$A$3:$G$12,7,0),IF(AND(C38="Bimestral",MONTH(TODAY())-1&lt;=8),VLOOKUP(RIGHT(A38,1),'Tabla Vencimiento'!$A$3:$I$12,9,0),IF(AND(C38="Bimestral",MONTH(TODAY())-1=10),VLOOKUP(RIGHT(A38,1),'Tabla Vencimiento'!$A$3:$K$12,11,0),IF(AND(C38="Bimestral",MONTH(TODAY())-1&lt;=12),VLOOKUP(RIGHT(A38,1),'Tabla Vencimiento'!$A$3:$M$12,13,0),IF(AND(C38="Cuatrimestral",MONTH(TODAY())-1&lt;=4),VLOOKUP(RIGHT(A38,1),'Tabla Vencimiento'!$A$3:$E$12,5,0),IF(AND(C38="Cuatrimestral",MONTH(TODAY())-1&lt;=8),VLOOKUP(RIGHT(A38,1),'Tabla Vencimiento'!$A$3:$I$12,9,0),IF(AND(C38="Cuatrimestral",MONTH(TODAY())-1&lt;=12),VLOOKUP(RIGHT(A38,1),'Tabla Vencimiento'!$A$3:$M$12,13,0),0))))))))))),0)</f>
        <v>0</v>
      </c>
      <c r="H38" s="57">
        <f ca="1">+IF(AND(D38="Tributación Simple",MONTH(TODAY())=2),VLOOKUP(RIGHT(A38,1),'Tabla Vencimiento'!$I$17:$J$26,2,0),0)</f>
        <v>0</v>
      </c>
      <c r="I38" s="56">
        <f ca="1">+IF(AND(D38="Tributación Simple",MONTH(TODAY())=2),VLOOKUP(RIGHT(A38,1),'Tabla Vencimiento'!$A$39:$G$48,2,0),+IF(AND(D38="Tributación Simple",MONTH(TODAY())=4),VLOOKUP(RIGHT(A38,1),'Tabla Vencimiento'!$A$39:$G$48,3,0),+IF(AND(D38="Tributación Simple",MONTH(TODAY())=6),VLOOKUP(RIGHT(A38,1),'Tabla Vencimiento'!$A$39:$G$48,4,0),+IF(AND(D38="Tributación Simple",MONTH(TODAY())=8),VLOOKUP(RIGHT(A38,1),'Tabla Vencimiento'!$A$39:$G$48,5,0),+IF(AND(D38="Tributación Simple",MONTH(TODAY())=10),VLOOKUP(RIGHT(A38,1),'Tabla Vencimiento'!$A$39:$G$48,6,0),+IF(AND(D38="Tributación Simple",MONTH(TODAY())=12),VLOOKUP(RIGHT(A38,1),'Tabla Vencimiento'!$A$39:$G$48,7,0),0))))))</f>
        <v>0</v>
      </c>
      <c r="J38" s="56">
        <f>+IF(AND(D38="Ordinario",E38="PN"),VLOOKUP(RIGHT(A38,2),'Tabla Vencimiento'!$I$40:$J$139,2,0),+IF(AND(D38="Ordinario",E38="PN"),VLOOKUP(RIGHT(A38,2),'Tabla Vencimiento'!$J$40:$J$139,2,0),+IF(AND(D38="Tributación Simple",E38="PN"),0,+IF(AND(D38="Tributación Simple",E38="PJ"),0,+IF(AND(RIGHT(A38,2)&gt;='Tabla Vencimiento'!$A$16,RIGHT(A38,2)&lt;='Tabla Vencimiento'!$B$16),'Tabla Vencimiento'!$C$16,IF(AND(RIGHT(A38,2)&gt;='Tabla Vencimiento'!$A$17,RIGHT(A38,2)&lt;='Tabla Vencimiento'!$B$17),'Tabla Vencimiento'!$C$17,IF(AND(RIGHT(A38,2)&gt;='Tabla Vencimiento'!$A$18,RIGHT(A38,2)&lt;='Tabla Vencimiento'!$B$18),'Tabla Vencimiento'!$C$18,IF(AND(RIGHT(A38,2)&gt;='Tabla Vencimiento'!$A$19,RIGHT(A38,2)&lt;='Tabla Vencimiento'!$B$19),'Tabla Vencimiento'!$C$19,IF(AND(RIGHT(A38,2)&gt;='Tabla Vencimiento'!$A$20,RIGHT(A38,2)&lt;='Tabla Vencimiento'!$B$20),'Tabla Vencimiento'!$C$20,IF(AND(RIGHT(A38,2)&gt;='Tabla Vencimiento'!$A$21,RIGHT(A38,2)&lt;='Tabla Vencimiento'!$B$21),'Tabla Vencimiento'!$C$21,IF(AND(RIGHT(A38,2)&gt;='Tabla Vencimiento'!$A$22,RIGHT(A38,2)&lt;='Tabla Vencimiento'!$B$22),'Tabla Vencimiento'!$C$22,IF(AND(RIGHT(A38,2)&gt;='Tabla Vencimiento'!$A$23,RIGHT(A38,2)&lt;='Tabla Vencimiento'!$B$23),'Tabla Vencimiento'!$C$23,IF(AND(RIGHT(A38,2)&gt;='Tabla Vencimiento'!$A$24,RIGHT(A38,2)&lt;='Tabla Vencimiento'!$B$24),'Tabla Vencimiento'!$C$24,IF(AND(RIGHT(A38,2)&gt;='Tabla Vencimiento'!$A$25,RIGHT(A38,2)&lt;='Tabla Vencimiento'!$B$25),'Tabla Vencimiento'!$C$25,IF(AND(RIGHT(A38,2)&gt;='Tabla Vencimiento'!$A$26,RIGHT(A38,2)&lt;='Tabla Vencimiento'!$B$26),'Tabla Vencimiento'!$C$26,IF(AND(RIGHT(A38,2)&gt;='Tabla Vencimiento'!$A$27,RIGHT(A38,2)&lt;='Tabla Vencimiento'!$B$27),'Tabla Vencimiento'!$C$27,IF(AND(RIGHT(A38,2)&gt;='Tabla Vencimiento'!$A$28,RIGHT(A38,2)&lt;='Tabla Vencimiento'!$B$28),'Tabla Vencimiento'!$C$28,IF(AND(RIGHT(A38,2)&gt;='Tabla Vencimiento'!$A$29,RIGHT(A38,2)&lt;='Tabla Vencimiento'!$B$29),'Tabla Vencimiento'!$C$29,IF(AND(RIGHT(A38,2)&gt;='Tabla Vencimiento'!$A$30,RIGHT(A38,2)&lt;='Tabla Vencimiento'!$B$30),'Tabla Vencimiento'!$C$30,IF(AND(RIGHT(A38,2)&gt;='Tabla Vencimiento'!$A$31,RIGHT(A38,2)&lt;='Tabla Vencimiento'!$B$31),'Tabla Vencimiento'!$C$31,IF(AND(RIGHT(A38,2)&gt;='Tabla Vencimiento'!$A$32,RIGHT(A38,2)&lt;='Tabla Vencimiento'!$B$32),'Tabla Vencimiento'!$C$32,IF(AND(RIGHT(A38,2)&gt;='Tabla Vencimiento'!$A$33,RIGHT(A38,2)&lt;='Tabla Vencimiento'!$B$33),'Tabla Vencimiento'!$C$33,IF(AND(RIGHT(A38,2)&gt;='Tabla Vencimiento'!$A$34,RIGHT(A38,2)&lt;='Tabla Vencimiento'!$B$34),'Tabla Vencimiento'!$C$34,IF(AND(RIGHT(A38,2)&gt;='Tabla Vencimiento'!$A$35),'Tabla Vencimiento'!$C$35,0))))))))))))))))))))))))</f>
        <v>0</v>
      </c>
      <c r="K38" s="56">
        <f>+IF((D38="Tributación Simple"),VLOOKUP(RIGHT(A38,1),'Tabla Vencimiento'!$F$17:$G$26,2,0),0)</f>
        <v>0</v>
      </c>
      <c r="L38" s="56">
        <f>+IF(AND(RIGHT(A38,2) &gt;='Tabla Vencimiento'!$A$16,RIGHT(A38,2) &lt;='Tabla Vencimiento'!$B$16),'Tabla Vencimiento'!$D$16,IF(AND(RIGHT(A38,2) &gt;='Tabla Vencimiento'!$A$17,RIGHT(A38,2) &lt;='Tabla Vencimiento'!$B$17),'Tabla Vencimiento'!$D$17,IF(AND(RIGHT(A38,2) &gt;='Tabla Vencimiento'!$A$18,RIGHT(A38,2) &lt;='Tabla Vencimiento'!$B$18),'Tabla Vencimiento'!$D$18,IF(AND(RIGHT(A38,2) &gt;='Tabla Vencimiento'!$A$19,RIGHT(A38,2) &lt;='Tabla Vencimiento'!$B$19),'Tabla Vencimiento'!$D$19,IF(AND(RIGHT(A38,2) &gt;='Tabla Vencimiento'!$A$20,RIGHT(A38,2) &lt;='Tabla Vencimiento'!$B$20),'Tabla Vencimiento'!$D$20,IF(AND(RIGHT(A38,2) &gt;='Tabla Vencimiento'!$A$21,RIGHT(A38,2) &lt;='Tabla Vencimiento'!$B$21),'Tabla Vencimiento'!$D$21,IF(AND(RIGHT(A38,2) &gt;='Tabla Vencimiento'!$A$22,RIGHT(A38,2) &lt;='Tabla Vencimiento'!$B$22),'Tabla Vencimiento'!$D$22,IF(AND(RIGHT(A38,2) &gt;='Tabla Vencimiento'!$A$23,RIGHT(A38,2) &lt;='Tabla Vencimiento'!$B$23),'Tabla Vencimiento'!$D$23,IF(AND(RIGHT(A38,2) &gt;='Tabla Vencimiento'!$A$24,RIGHT(A38,2) &lt;='Tabla Vencimiento'!$B$24),'Tabla Vencimiento'!$D$24,IF(AND(RIGHT(A38,2) &gt;='Tabla Vencimiento'!$A$25,RIGHT(A38,2) &lt;='Tabla Vencimiento'!$B$25),'Tabla Vencimiento'!$D$25,IF(AND(RIGHT(A38,2) &gt;='Tabla Vencimiento'!$A$26,RIGHT(A38,2) &lt;='Tabla Vencimiento'!$B$26),'Tabla Vencimiento'!$D$26,IF(AND(RIGHT(A38,2) &gt;='Tabla Vencimiento'!$A$27,RIGHT(A38,2) &lt;='Tabla Vencimiento'!$B$27),'Tabla Vencimiento'!$D$27,IF(AND(RIGHT(A38,2) &gt;='Tabla Vencimiento'!$A$28,RIGHT(A38,2) &lt;='Tabla Vencimiento'!$B$28),'Tabla Vencimiento'!$D$28,IF(AND(RIGHT(A38,2) &gt;='Tabla Vencimiento'!$A$29,RIGHT(A38,2) &lt;='Tabla Vencimiento'!$B$29),'Tabla Vencimiento'!$D$29,IF(AND(RIGHT(A38,2) &gt;='Tabla Vencimiento'!$A$30,RIGHT(A38,2) &lt;='Tabla Vencimiento'!$B$30),'Tabla Vencimiento'!$D$30,IF(AND(RIGHT(A38,2) &gt;='Tabla Vencimiento'!$A$31,RIGHT(A38,2) &lt;='Tabla Vencimiento'!$B$31),'Tabla Vencimiento'!$D$31,IF(AND(RIGHT(A38,2) &gt;='Tabla Vencimiento'!$A$32,RIGHT(A38,2) &lt;='Tabla Vencimiento'!$B$32),'Tabla Vencimiento'!$D$32,IF(AND(RIGHT(A38,2) &gt;='Tabla Vencimiento'!$A$33,RIGHT(A38,2) &lt;='Tabla Vencimiento'!$B$33),'Tabla Vencimiento'!$D$33,IF(AND(RIGHT(A38,2) &gt;='Tabla Vencimiento'!$A$34,RIGHT(A38,2) &lt;='Tabla Vencimiento'!$B$34),'Tabla Vencimiento'!$D$34,IF(AND(RIGHT(A38,2) &gt;='Tabla Vencimiento'!$A$35),'Tabla Vencimiento'!$D$35,0))))))))))))))))))))</f>
        <v>0</v>
      </c>
    </row>
    <row r="39" spans="1:12" x14ac:dyDescent="0.45">
      <c r="A39" s="52"/>
      <c r="B39" s="52"/>
      <c r="C39" s="52"/>
      <c r="D39" s="52"/>
      <c r="E39" s="52"/>
      <c r="F39" s="56" t="b">
        <f ca="1">IFERROR(+IF(MONTH(TODAY())=2,VLOOKUP(RIGHT(A39,1),'Tabla Vencimiento'!$A$3:$B$12,2,IF(MONTH(TODAY())=3,VLOOKUP(RIGHT(A39,1),'Tabla Vencimiento'!$A$3:$C$12,3),IF(MONTH(TODAY())=4,VLOOKUP(RIGHT(A39,1),'Tabla Vencimiento'!$A$3:$D$12,4),IF(MONTH(TODAY())=5,VLOOKUP(RIGHT(A39,1),'Tabla Vencimiento'!$A$3:$E$12,5,0),IF(MONTH(TODAY())=6,VLOOKUP(RIGHT(A39,1),'Tabla Vencimiento'!$A$3:$F$12,6),IF(MONTH(TODAY())=7,VLOOKUP(RIGHT(A39,1),'Tabla Vencimiento'!$A$3:$G$12,7),IF(MONTH(TODAY())=8,VLOOKUP(RIGHT(A39,1),'Tabla Vencimiento'!$A$3:$H$12,8),IF(MONTH(TODAY())=9,VLOOKUP(RIGHT(A39,1),'Tabla Vencimiento'!$A$3:$I$12,9),IF(MONTH(TODAY())=10,VLOOKUP(RIGHT(A39,1),'Tabla Vencimiento'!$A$3:$J$12,10),IF(MONTH(TODAY())=11,VLOOKUP(RIGHT(A39,1),'Tabla Vencimiento'!$A$3:$K$12,11),IF(MONTH(TODAY())=12,VLOOKUP(RIGHT(A39,1),'Tabla Vencimiento'!$A$3:$L$12,12),0)))))))))))),0)</f>
        <v>0</v>
      </c>
      <c r="G39" s="56">
        <f ca="1">IFERROR(+IF(C39="No Responsable", 0,+IF(D39="Tributación Simple", 0,+IF(AND(C39="Bimestral",MONTH(TODAY())-1&lt;=2),VLOOKUP(RIGHT(A39,1),'Tabla Vencimiento'!$A$3:$C$12,3,0),IF(AND(C39="Bimestral",MONTH(TODAY())-1&lt;=4),VLOOKUP(RIGHT(A39,1),'Tabla Vencimiento'!$A$3:$E$12,5,0),IF(AND(C39="Bimestral",MONTH(TODAY())-1&lt;=6),VLOOKUP(RIGHT(A39,1),'Tabla Vencimiento'!$A$3:$G$12,7,0),IF(AND(C39="Bimestral",MONTH(TODAY())-1&lt;=8),VLOOKUP(RIGHT(A39,1),'Tabla Vencimiento'!$A$3:$I$12,9,0),IF(AND(C39="Bimestral",MONTH(TODAY())-1=10),VLOOKUP(RIGHT(A39,1),'Tabla Vencimiento'!$A$3:$K$12,11,0),IF(AND(C39="Bimestral",MONTH(TODAY())-1&lt;=12),VLOOKUP(RIGHT(A39,1),'Tabla Vencimiento'!$A$3:$M$12,13,0),IF(AND(C39="Cuatrimestral",MONTH(TODAY())-1&lt;=4),VLOOKUP(RIGHT(A39,1),'Tabla Vencimiento'!$A$3:$E$12,5,0),IF(AND(C39="Cuatrimestral",MONTH(TODAY())-1&lt;=8),VLOOKUP(RIGHT(A39,1),'Tabla Vencimiento'!$A$3:$I$12,9,0),IF(AND(C39="Cuatrimestral",MONTH(TODAY())-1&lt;=12),VLOOKUP(RIGHT(A39,1),'Tabla Vencimiento'!$A$3:$M$12,13,0),0))))))))))),0)</f>
        <v>0</v>
      </c>
      <c r="H39" s="57">
        <f ca="1">+IF(AND(D39="Tributación Simple",MONTH(TODAY())=2),VLOOKUP(RIGHT(A39,1),'Tabla Vencimiento'!$I$17:$J$26,2,0),0)</f>
        <v>0</v>
      </c>
      <c r="I39" s="56">
        <f ca="1">+IF(AND(D39="Tributación Simple",MONTH(TODAY())=2),VLOOKUP(RIGHT(A39,1),'Tabla Vencimiento'!$A$39:$G$48,2,0),+IF(AND(D39="Tributación Simple",MONTH(TODAY())=4),VLOOKUP(RIGHT(A39,1),'Tabla Vencimiento'!$A$39:$G$48,3,0),+IF(AND(D39="Tributación Simple",MONTH(TODAY())=6),VLOOKUP(RIGHT(A39,1),'Tabla Vencimiento'!$A$39:$G$48,4,0),+IF(AND(D39="Tributación Simple",MONTH(TODAY())=8),VLOOKUP(RIGHT(A39,1),'Tabla Vencimiento'!$A$39:$G$48,5,0),+IF(AND(D39="Tributación Simple",MONTH(TODAY())=10),VLOOKUP(RIGHT(A39,1),'Tabla Vencimiento'!$A$39:$G$48,6,0),+IF(AND(D39="Tributación Simple",MONTH(TODAY())=12),VLOOKUP(RIGHT(A39,1),'Tabla Vencimiento'!$A$39:$G$48,7,0),0))))))</f>
        <v>0</v>
      </c>
      <c r="J39" s="56">
        <f>+IF(AND(D39="Ordinario",E39="PN"),VLOOKUP(RIGHT(A39,2),'Tabla Vencimiento'!$I$40:$J$139,2,0),+IF(AND(D39="Ordinario",E39="PN"),VLOOKUP(RIGHT(A39,2),'Tabla Vencimiento'!$J$40:$J$139,2,0),+IF(AND(D39="Tributación Simple",E39="PN"),0,+IF(AND(D39="Tributación Simple",E39="PJ"),0,+IF(AND(RIGHT(A39,2)&gt;='Tabla Vencimiento'!$A$16,RIGHT(A39,2)&lt;='Tabla Vencimiento'!$B$16),'Tabla Vencimiento'!$C$16,IF(AND(RIGHT(A39,2)&gt;='Tabla Vencimiento'!$A$17,RIGHT(A39,2)&lt;='Tabla Vencimiento'!$B$17),'Tabla Vencimiento'!$C$17,IF(AND(RIGHT(A39,2)&gt;='Tabla Vencimiento'!$A$18,RIGHT(A39,2)&lt;='Tabla Vencimiento'!$B$18),'Tabla Vencimiento'!$C$18,IF(AND(RIGHT(A39,2)&gt;='Tabla Vencimiento'!$A$19,RIGHT(A39,2)&lt;='Tabla Vencimiento'!$B$19),'Tabla Vencimiento'!$C$19,IF(AND(RIGHT(A39,2)&gt;='Tabla Vencimiento'!$A$20,RIGHT(A39,2)&lt;='Tabla Vencimiento'!$B$20),'Tabla Vencimiento'!$C$20,IF(AND(RIGHT(A39,2)&gt;='Tabla Vencimiento'!$A$21,RIGHT(A39,2)&lt;='Tabla Vencimiento'!$B$21),'Tabla Vencimiento'!$C$21,IF(AND(RIGHT(A39,2)&gt;='Tabla Vencimiento'!$A$22,RIGHT(A39,2)&lt;='Tabla Vencimiento'!$B$22),'Tabla Vencimiento'!$C$22,IF(AND(RIGHT(A39,2)&gt;='Tabla Vencimiento'!$A$23,RIGHT(A39,2)&lt;='Tabla Vencimiento'!$B$23),'Tabla Vencimiento'!$C$23,IF(AND(RIGHT(A39,2)&gt;='Tabla Vencimiento'!$A$24,RIGHT(A39,2)&lt;='Tabla Vencimiento'!$B$24),'Tabla Vencimiento'!$C$24,IF(AND(RIGHT(A39,2)&gt;='Tabla Vencimiento'!$A$25,RIGHT(A39,2)&lt;='Tabla Vencimiento'!$B$25),'Tabla Vencimiento'!$C$25,IF(AND(RIGHT(A39,2)&gt;='Tabla Vencimiento'!$A$26,RIGHT(A39,2)&lt;='Tabla Vencimiento'!$B$26),'Tabla Vencimiento'!$C$26,IF(AND(RIGHT(A39,2)&gt;='Tabla Vencimiento'!$A$27,RIGHT(A39,2)&lt;='Tabla Vencimiento'!$B$27),'Tabla Vencimiento'!$C$27,IF(AND(RIGHT(A39,2)&gt;='Tabla Vencimiento'!$A$28,RIGHT(A39,2)&lt;='Tabla Vencimiento'!$B$28),'Tabla Vencimiento'!$C$28,IF(AND(RIGHT(A39,2)&gt;='Tabla Vencimiento'!$A$29,RIGHT(A39,2)&lt;='Tabla Vencimiento'!$B$29),'Tabla Vencimiento'!$C$29,IF(AND(RIGHT(A39,2)&gt;='Tabla Vencimiento'!$A$30,RIGHT(A39,2)&lt;='Tabla Vencimiento'!$B$30),'Tabla Vencimiento'!$C$30,IF(AND(RIGHT(A39,2)&gt;='Tabla Vencimiento'!$A$31,RIGHT(A39,2)&lt;='Tabla Vencimiento'!$B$31),'Tabla Vencimiento'!$C$31,IF(AND(RIGHT(A39,2)&gt;='Tabla Vencimiento'!$A$32,RIGHT(A39,2)&lt;='Tabla Vencimiento'!$B$32),'Tabla Vencimiento'!$C$32,IF(AND(RIGHT(A39,2)&gt;='Tabla Vencimiento'!$A$33,RIGHT(A39,2)&lt;='Tabla Vencimiento'!$B$33),'Tabla Vencimiento'!$C$33,IF(AND(RIGHT(A39,2)&gt;='Tabla Vencimiento'!$A$34,RIGHT(A39,2)&lt;='Tabla Vencimiento'!$B$34),'Tabla Vencimiento'!$C$34,IF(AND(RIGHT(A39,2)&gt;='Tabla Vencimiento'!$A$35),'Tabla Vencimiento'!$C$35,0))))))))))))))))))))))))</f>
        <v>0</v>
      </c>
      <c r="K39" s="56">
        <f>+IF((D39="Tributación Simple"),VLOOKUP(RIGHT(A39,1),'Tabla Vencimiento'!$F$17:$G$26,2,0),0)</f>
        <v>0</v>
      </c>
      <c r="L39" s="56">
        <f>+IF(AND(RIGHT(A39,2) &gt;='Tabla Vencimiento'!$A$16,RIGHT(A39,2) &lt;='Tabla Vencimiento'!$B$16),'Tabla Vencimiento'!$D$16,IF(AND(RIGHT(A39,2) &gt;='Tabla Vencimiento'!$A$17,RIGHT(A39,2) &lt;='Tabla Vencimiento'!$B$17),'Tabla Vencimiento'!$D$17,IF(AND(RIGHT(A39,2) &gt;='Tabla Vencimiento'!$A$18,RIGHT(A39,2) &lt;='Tabla Vencimiento'!$B$18),'Tabla Vencimiento'!$D$18,IF(AND(RIGHT(A39,2) &gt;='Tabla Vencimiento'!$A$19,RIGHT(A39,2) &lt;='Tabla Vencimiento'!$B$19),'Tabla Vencimiento'!$D$19,IF(AND(RIGHT(A39,2) &gt;='Tabla Vencimiento'!$A$20,RIGHT(A39,2) &lt;='Tabla Vencimiento'!$B$20),'Tabla Vencimiento'!$D$20,IF(AND(RIGHT(A39,2) &gt;='Tabla Vencimiento'!$A$21,RIGHT(A39,2) &lt;='Tabla Vencimiento'!$B$21),'Tabla Vencimiento'!$D$21,IF(AND(RIGHT(A39,2) &gt;='Tabla Vencimiento'!$A$22,RIGHT(A39,2) &lt;='Tabla Vencimiento'!$B$22),'Tabla Vencimiento'!$D$22,IF(AND(RIGHT(A39,2) &gt;='Tabla Vencimiento'!$A$23,RIGHT(A39,2) &lt;='Tabla Vencimiento'!$B$23),'Tabla Vencimiento'!$D$23,IF(AND(RIGHT(A39,2) &gt;='Tabla Vencimiento'!$A$24,RIGHT(A39,2) &lt;='Tabla Vencimiento'!$B$24),'Tabla Vencimiento'!$D$24,IF(AND(RIGHT(A39,2) &gt;='Tabla Vencimiento'!$A$25,RIGHT(A39,2) &lt;='Tabla Vencimiento'!$B$25),'Tabla Vencimiento'!$D$25,IF(AND(RIGHT(A39,2) &gt;='Tabla Vencimiento'!$A$26,RIGHT(A39,2) &lt;='Tabla Vencimiento'!$B$26),'Tabla Vencimiento'!$D$26,IF(AND(RIGHT(A39,2) &gt;='Tabla Vencimiento'!$A$27,RIGHT(A39,2) &lt;='Tabla Vencimiento'!$B$27),'Tabla Vencimiento'!$D$27,IF(AND(RIGHT(A39,2) &gt;='Tabla Vencimiento'!$A$28,RIGHT(A39,2) &lt;='Tabla Vencimiento'!$B$28),'Tabla Vencimiento'!$D$28,IF(AND(RIGHT(A39,2) &gt;='Tabla Vencimiento'!$A$29,RIGHT(A39,2) &lt;='Tabla Vencimiento'!$B$29),'Tabla Vencimiento'!$D$29,IF(AND(RIGHT(A39,2) &gt;='Tabla Vencimiento'!$A$30,RIGHT(A39,2) &lt;='Tabla Vencimiento'!$B$30),'Tabla Vencimiento'!$D$30,IF(AND(RIGHT(A39,2) &gt;='Tabla Vencimiento'!$A$31,RIGHT(A39,2) &lt;='Tabla Vencimiento'!$B$31),'Tabla Vencimiento'!$D$31,IF(AND(RIGHT(A39,2) &gt;='Tabla Vencimiento'!$A$32,RIGHT(A39,2) &lt;='Tabla Vencimiento'!$B$32),'Tabla Vencimiento'!$D$32,IF(AND(RIGHT(A39,2) &gt;='Tabla Vencimiento'!$A$33,RIGHT(A39,2) &lt;='Tabla Vencimiento'!$B$33),'Tabla Vencimiento'!$D$33,IF(AND(RIGHT(A39,2) &gt;='Tabla Vencimiento'!$A$34,RIGHT(A39,2) &lt;='Tabla Vencimiento'!$B$34),'Tabla Vencimiento'!$D$34,IF(AND(RIGHT(A39,2) &gt;='Tabla Vencimiento'!$A$35),'Tabla Vencimiento'!$D$35,0))))))))))))))))))))</f>
        <v>0</v>
      </c>
    </row>
    <row r="40" spans="1:12" x14ac:dyDescent="0.45">
      <c r="A40" s="52"/>
      <c r="B40" s="52"/>
      <c r="C40" s="52"/>
      <c r="D40" s="52"/>
      <c r="E40" s="52"/>
      <c r="F40" s="56" t="b">
        <f ca="1">IFERROR(+IF(MONTH(TODAY())=2,VLOOKUP(RIGHT(A40,1),'Tabla Vencimiento'!$A$3:$B$12,2,IF(MONTH(TODAY())=3,VLOOKUP(RIGHT(A40,1),'Tabla Vencimiento'!$A$3:$C$12,3),IF(MONTH(TODAY())=4,VLOOKUP(RIGHT(A40,1),'Tabla Vencimiento'!$A$3:$D$12,4),IF(MONTH(TODAY())=5,VLOOKUP(RIGHT(A40,1),'Tabla Vencimiento'!$A$3:$E$12,5,0),IF(MONTH(TODAY())=6,VLOOKUP(RIGHT(A40,1),'Tabla Vencimiento'!$A$3:$F$12,6),IF(MONTH(TODAY())=7,VLOOKUP(RIGHT(A40,1),'Tabla Vencimiento'!$A$3:$G$12,7),IF(MONTH(TODAY())=8,VLOOKUP(RIGHT(A40,1),'Tabla Vencimiento'!$A$3:$H$12,8),IF(MONTH(TODAY())=9,VLOOKUP(RIGHT(A40,1),'Tabla Vencimiento'!$A$3:$I$12,9),IF(MONTH(TODAY())=10,VLOOKUP(RIGHT(A40,1),'Tabla Vencimiento'!$A$3:$J$12,10),IF(MONTH(TODAY())=11,VLOOKUP(RIGHT(A40,1),'Tabla Vencimiento'!$A$3:$K$12,11),IF(MONTH(TODAY())=12,VLOOKUP(RIGHT(A40,1),'Tabla Vencimiento'!$A$3:$L$12,12),0)))))))))))),0)</f>
        <v>0</v>
      </c>
      <c r="G40" s="56">
        <f ca="1">IFERROR(+IF(C40="No Responsable", 0,+IF(D40="Tributación Simple", 0,+IF(AND(C40="Bimestral",MONTH(TODAY())-1&lt;=2),VLOOKUP(RIGHT(A40,1),'Tabla Vencimiento'!$A$3:$C$12,3,0),IF(AND(C40="Bimestral",MONTH(TODAY())-1&lt;=4),VLOOKUP(RIGHT(A40,1),'Tabla Vencimiento'!$A$3:$E$12,5,0),IF(AND(C40="Bimestral",MONTH(TODAY())-1&lt;=6),VLOOKUP(RIGHT(A40,1),'Tabla Vencimiento'!$A$3:$G$12,7,0),IF(AND(C40="Bimestral",MONTH(TODAY())-1&lt;=8),VLOOKUP(RIGHT(A40,1),'Tabla Vencimiento'!$A$3:$I$12,9,0),IF(AND(C40="Bimestral",MONTH(TODAY())-1=10),VLOOKUP(RIGHT(A40,1),'Tabla Vencimiento'!$A$3:$K$12,11,0),IF(AND(C40="Bimestral",MONTH(TODAY())-1&lt;=12),VLOOKUP(RIGHT(A40,1),'Tabla Vencimiento'!$A$3:$M$12,13,0),IF(AND(C40="Cuatrimestral",MONTH(TODAY())-1&lt;=4),VLOOKUP(RIGHT(A40,1),'Tabla Vencimiento'!$A$3:$E$12,5,0),IF(AND(C40="Cuatrimestral",MONTH(TODAY())-1&lt;=8),VLOOKUP(RIGHT(A40,1),'Tabla Vencimiento'!$A$3:$I$12,9,0),IF(AND(C40="Cuatrimestral",MONTH(TODAY())-1&lt;=12),VLOOKUP(RIGHT(A40,1),'Tabla Vencimiento'!$A$3:$M$12,13,0),0))))))))))),0)</f>
        <v>0</v>
      </c>
      <c r="H40" s="57">
        <f ca="1">+IF(AND(D40="Tributación Simple",MONTH(TODAY())=2),VLOOKUP(RIGHT(A40,1),'Tabla Vencimiento'!$I$17:$J$26,2,0),0)</f>
        <v>0</v>
      </c>
      <c r="I40" s="56">
        <f ca="1">+IF(AND(D40="Tributación Simple",MONTH(TODAY())=2),VLOOKUP(RIGHT(A40,1),'Tabla Vencimiento'!$A$39:$G$48,2,0),+IF(AND(D40="Tributación Simple",MONTH(TODAY())=4),VLOOKUP(RIGHT(A40,1),'Tabla Vencimiento'!$A$39:$G$48,3,0),+IF(AND(D40="Tributación Simple",MONTH(TODAY())=6),VLOOKUP(RIGHT(A40,1),'Tabla Vencimiento'!$A$39:$G$48,4,0),+IF(AND(D40="Tributación Simple",MONTH(TODAY())=8),VLOOKUP(RIGHT(A40,1),'Tabla Vencimiento'!$A$39:$G$48,5,0),+IF(AND(D40="Tributación Simple",MONTH(TODAY())=10),VLOOKUP(RIGHT(A40,1),'Tabla Vencimiento'!$A$39:$G$48,6,0),+IF(AND(D40="Tributación Simple",MONTH(TODAY())=12),VLOOKUP(RIGHT(A40,1),'Tabla Vencimiento'!$A$39:$G$48,7,0),0))))))</f>
        <v>0</v>
      </c>
      <c r="J40" s="56">
        <f>+IF(AND(D40="Ordinario",E40="PN"),VLOOKUP(RIGHT(A40,2),'Tabla Vencimiento'!$I$40:$J$139,2,0),+IF(AND(D40="Ordinario",E40="PN"),VLOOKUP(RIGHT(A40,2),'Tabla Vencimiento'!$J$40:$J$139,2,0),+IF(AND(D40="Tributación Simple",E40="PN"),0,+IF(AND(D40="Tributación Simple",E40="PJ"),0,+IF(AND(RIGHT(A40,2)&gt;='Tabla Vencimiento'!$A$16,RIGHT(A40,2)&lt;='Tabla Vencimiento'!$B$16),'Tabla Vencimiento'!$C$16,IF(AND(RIGHT(A40,2)&gt;='Tabla Vencimiento'!$A$17,RIGHT(A40,2)&lt;='Tabla Vencimiento'!$B$17),'Tabla Vencimiento'!$C$17,IF(AND(RIGHT(A40,2)&gt;='Tabla Vencimiento'!$A$18,RIGHT(A40,2)&lt;='Tabla Vencimiento'!$B$18),'Tabla Vencimiento'!$C$18,IF(AND(RIGHT(A40,2)&gt;='Tabla Vencimiento'!$A$19,RIGHT(A40,2)&lt;='Tabla Vencimiento'!$B$19),'Tabla Vencimiento'!$C$19,IF(AND(RIGHT(A40,2)&gt;='Tabla Vencimiento'!$A$20,RIGHT(A40,2)&lt;='Tabla Vencimiento'!$B$20),'Tabla Vencimiento'!$C$20,IF(AND(RIGHT(A40,2)&gt;='Tabla Vencimiento'!$A$21,RIGHT(A40,2)&lt;='Tabla Vencimiento'!$B$21),'Tabla Vencimiento'!$C$21,IF(AND(RIGHT(A40,2)&gt;='Tabla Vencimiento'!$A$22,RIGHT(A40,2)&lt;='Tabla Vencimiento'!$B$22),'Tabla Vencimiento'!$C$22,IF(AND(RIGHT(A40,2)&gt;='Tabla Vencimiento'!$A$23,RIGHT(A40,2)&lt;='Tabla Vencimiento'!$B$23),'Tabla Vencimiento'!$C$23,IF(AND(RIGHT(A40,2)&gt;='Tabla Vencimiento'!$A$24,RIGHT(A40,2)&lt;='Tabla Vencimiento'!$B$24),'Tabla Vencimiento'!$C$24,IF(AND(RIGHT(A40,2)&gt;='Tabla Vencimiento'!$A$25,RIGHT(A40,2)&lt;='Tabla Vencimiento'!$B$25),'Tabla Vencimiento'!$C$25,IF(AND(RIGHT(A40,2)&gt;='Tabla Vencimiento'!$A$26,RIGHT(A40,2)&lt;='Tabla Vencimiento'!$B$26),'Tabla Vencimiento'!$C$26,IF(AND(RIGHT(A40,2)&gt;='Tabla Vencimiento'!$A$27,RIGHT(A40,2)&lt;='Tabla Vencimiento'!$B$27),'Tabla Vencimiento'!$C$27,IF(AND(RIGHT(A40,2)&gt;='Tabla Vencimiento'!$A$28,RIGHT(A40,2)&lt;='Tabla Vencimiento'!$B$28),'Tabla Vencimiento'!$C$28,IF(AND(RIGHT(A40,2)&gt;='Tabla Vencimiento'!$A$29,RIGHT(A40,2)&lt;='Tabla Vencimiento'!$B$29),'Tabla Vencimiento'!$C$29,IF(AND(RIGHT(A40,2)&gt;='Tabla Vencimiento'!$A$30,RIGHT(A40,2)&lt;='Tabla Vencimiento'!$B$30),'Tabla Vencimiento'!$C$30,IF(AND(RIGHT(A40,2)&gt;='Tabla Vencimiento'!$A$31,RIGHT(A40,2)&lt;='Tabla Vencimiento'!$B$31),'Tabla Vencimiento'!$C$31,IF(AND(RIGHT(A40,2)&gt;='Tabla Vencimiento'!$A$32,RIGHT(A40,2)&lt;='Tabla Vencimiento'!$B$32),'Tabla Vencimiento'!$C$32,IF(AND(RIGHT(A40,2)&gt;='Tabla Vencimiento'!$A$33,RIGHT(A40,2)&lt;='Tabla Vencimiento'!$B$33),'Tabla Vencimiento'!$C$33,IF(AND(RIGHT(A40,2)&gt;='Tabla Vencimiento'!$A$34,RIGHT(A40,2)&lt;='Tabla Vencimiento'!$B$34),'Tabla Vencimiento'!$C$34,IF(AND(RIGHT(A40,2)&gt;='Tabla Vencimiento'!$A$35),'Tabla Vencimiento'!$C$35,0))))))))))))))))))))))))</f>
        <v>0</v>
      </c>
      <c r="K40" s="56">
        <f>+IF((D40="Tributación Simple"),VLOOKUP(RIGHT(A40,1),'Tabla Vencimiento'!$F$17:$G$26,2,0),0)</f>
        <v>0</v>
      </c>
      <c r="L40" s="56">
        <f>+IF(AND(RIGHT(A40,2) &gt;='Tabla Vencimiento'!$A$16,RIGHT(A40,2) &lt;='Tabla Vencimiento'!$B$16),'Tabla Vencimiento'!$D$16,IF(AND(RIGHT(A40,2) &gt;='Tabla Vencimiento'!$A$17,RIGHT(A40,2) &lt;='Tabla Vencimiento'!$B$17),'Tabla Vencimiento'!$D$17,IF(AND(RIGHT(A40,2) &gt;='Tabla Vencimiento'!$A$18,RIGHT(A40,2) &lt;='Tabla Vencimiento'!$B$18),'Tabla Vencimiento'!$D$18,IF(AND(RIGHT(A40,2) &gt;='Tabla Vencimiento'!$A$19,RIGHT(A40,2) &lt;='Tabla Vencimiento'!$B$19),'Tabla Vencimiento'!$D$19,IF(AND(RIGHT(A40,2) &gt;='Tabla Vencimiento'!$A$20,RIGHT(A40,2) &lt;='Tabla Vencimiento'!$B$20),'Tabla Vencimiento'!$D$20,IF(AND(RIGHT(A40,2) &gt;='Tabla Vencimiento'!$A$21,RIGHT(A40,2) &lt;='Tabla Vencimiento'!$B$21),'Tabla Vencimiento'!$D$21,IF(AND(RIGHT(A40,2) &gt;='Tabla Vencimiento'!$A$22,RIGHT(A40,2) &lt;='Tabla Vencimiento'!$B$22),'Tabla Vencimiento'!$D$22,IF(AND(RIGHT(A40,2) &gt;='Tabla Vencimiento'!$A$23,RIGHT(A40,2) &lt;='Tabla Vencimiento'!$B$23),'Tabla Vencimiento'!$D$23,IF(AND(RIGHT(A40,2) &gt;='Tabla Vencimiento'!$A$24,RIGHT(A40,2) &lt;='Tabla Vencimiento'!$B$24),'Tabla Vencimiento'!$D$24,IF(AND(RIGHT(A40,2) &gt;='Tabla Vencimiento'!$A$25,RIGHT(A40,2) &lt;='Tabla Vencimiento'!$B$25),'Tabla Vencimiento'!$D$25,IF(AND(RIGHT(A40,2) &gt;='Tabla Vencimiento'!$A$26,RIGHT(A40,2) &lt;='Tabla Vencimiento'!$B$26),'Tabla Vencimiento'!$D$26,IF(AND(RIGHT(A40,2) &gt;='Tabla Vencimiento'!$A$27,RIGHT(A40,2) &lt;='Tabla Vencimiento'!$B$27),'Tabla Vencimiento'!$D$27,IF(AND(RIGHT(A40,2) &gt;='Tabla Vencimiento'!$A$28,RIGHT(A40,2) &lt;='Tabla Vencimiento'!$B$28),'Tabla Vencimiento'!$D$28,IF(AND(RIGHT(A40,2) &gt;='Tabla Vencimiento'!$A$29,RIGHT(A40,2) &lt;='Tabla Vencimiento'!$B$29),'Tabla Vencimiento'!$D$29,IF(AND(RIGHT(A40,2) &gt;='Tabla Vencimiento'!$A$30,RIGHT(A40,2) &lt;='Tabla Vencimiento'!$B$30),'Tabla Vencimiento'!$D$30,IF(AND(RIGHT(A40,2) &gt;='Tabla Vencimiento'!$A$31,RIGHT(A40,2) &lt;='Tabla Vencimiento'!$B$31),'Tabla Vencimiento'!$D$31,IF(AND(RIGHT(A40,2) &gt;='Tabla Vencimiento'!$A$32,RIGHT(A40,2) &lt;='Tabla Vencimiento'!$B$32),'Tabla Vencimiento'!$D$32,IF(AND(RIGHT(A40,2) &gt;='Tabla Vencimiento'!$A$33,RIGHT(A40,2) &lt;='Tabla Vencimiento'!$B$33),'Tabla Vencimiento'!$D$33,IF(AND(RIGHT(A40,2) &gt;='Tabla Vencimiento'!$A$34,RIGHT(A40,2) &lt;='Tabla Vencimiento'!$B$34),'Tabla Vencimiento'!$D$34,IF(AND(RIGHT(A40,2) &gt;='Tabla Vencimiento'!$A$35),'Tabla Vencimiento'!$D$35,0))))))))))))))))))))</f>
        <v>0</v>
      </c>
    </row>
    <row r="41" spans="1:12" x14ac:dyDescent="0.45">
      <c r="A41" s="52"/>
      <c r="B41" s="52"/>
      <c r="C41" s="52"/>
      <c r="D41" s="52"/>
      <c r="E41" s="52"/>
      <c r="F41" s="56" t="b">
        <f ca="1">IFERROR(+IF(MONTH(TODAY())=2,VLOOKUP(RIGHT(A41,1),'Tabla Vencimiento'!$A$3:$B$12,2,IF(MONTH(TODAY())=3,VLOOKUP(RIGHT(A41,1),'Tabla Vencimiento'!$A$3:$C$12,3),IF(MONTH(TODAY())=4,VLOOKUP(RIGHT(A41,1),'Tabla Vencimiento'!$A$3:$D$12,4),IF(MONTH(TODAY())=5,VLOOKUP(RIGHT(A41,1),'Tabla Vencimiento'!$A$3:$E$12,5,0),IF(MONTH(TODAY())=6,VLOOKUP(RIGHT(A41,1),'Tabla Vencimiento'!$A$3:$F$12,6),IF(MONTH(TODAY())=7,VLOOKUP(RIGHT(A41,1),'Tabla Vencimiento'!$A$3:$G$12,7),IF(MONTH(TODAY())=8,VLOOKUP(RIGHT(A41,1),'Tabla Vencimiento'!$A$3:$H$12,8),IF(MONTH(TODAY())=9,VLOOKUP(RIGHT(A41,1),'Tabla Vencimiento'!$A$3:$I$12,9),IF(MONTH(TODAY())=10,VLOOKUP(RIGHT(A41,1),'Tabla Vencimiento'!$A$3:$J$12,10),IF(MONTH(TODAY())=11,VLOOKUP(RIGHT(A41,1),'Tabla Vencimiento'!$A$3:$K$12,11),IF(MONTH(TODAY())=12,VLOOKUP(RIGHT(A41,1),'Tabla Vencimiento'!$A$3:$L$12,12),0)))))))))))),0)</f>
        <v>0</v>
      </c>
      <c r="G41" s="56">
        <f ca="1">IFERROR(+IF(C41="No Responsable", 0,+IF(D41="Tributación Simple", 0,+IF(AND(C41="Bimestral",MONTH(TODAY())-1&lt;=2),VLOOKUP(RIGHT(A41,1),'Tabla Vencimiento'!$A$3:$C$12,3,0),IF(AND(C41="Bimestral",MONTH(TODAY())-1&lt;=4),VLOOKUP(RIGHT(A41,1),'Tabla Vencimiento'!$A$3:$E$12,5,0),IF(AND(C41="Bimestral",MONTH(TODAY())-1&lt;=6),VLOOKUP(RIGHT(A41,1),'Tabla Vencimiento'!$A$3:$G$12,7,0),IF(AND(C41="Bimestral",MONTH(TODAY())-1&lt;=8),VLOOKUP(RIGHT(A41,1),'Tabla Vencimiento'!$A$3:$I$12,9,0),IF(AND(C41="Bimestral",MONTH(TODAY())-1=10),VLOOKUP(RIGHT(A41,1),'Tabla Vencimiento'!$A$3:$K$12,11,0),IF(AND(C41="Bimestral",MONTH(TODAY())-1&lt;=12),VLOOKUP(RIGHT(A41,1),'Tabla Vencimiento'!$A$3:$M$12,13,0),IF(AND(C41="Cuatrimestral",MONTH(TODAY())-1&lt;=4),VLOOKUP(RIGHT(A41,1),'Tabla Vencimiento'!$A$3:$E$12,5,0),IF(AND(C41="Cuatrimestral",MONTH(TODAY())-1&lt;=8),VLOOKUP(RIGHT(A41,1),'Tabla Vencimiento'!$A$3:$I$12,9,0),IF(AND(C41="Cuatrimestral",MONTH(TODAY())-1&lt;=12),VLOOKUP(RIGHT(A41,1),'Tabla Vencimiento'!$A$3:$M$12,13,0),0))))))))))),0)</f>
        <v>0</v>
      </c>
      <c r="H41" s="57">
        <f ca="1">+IF(AND(D41="Tributación Simple",MONTH(TODAY())=2),VLOOKUP(RIGHT(A41,1),'Tabla Vencimiento'!$I$17:$J$26,2,0),0)</f>
        <v>0</v>
      </c>
      <c r="I41" s="56">
        <f ca="1">+IF(AND(D41="Tributación Simple",MONTH(TODAY())=2),VLOOKUP(RIGHT(A41,1),'Tabla Vencimiento'!$A$39:$G$48,2,0),+IF(AND(D41="Tributación Simple",MONTH(TODAY())=4),VLOOKUP(RIGHT(A41,1),'Tabla Vencimiento'!$A$39:$G$48,3,0),+IF(AND(D41="Tributación Simple",MONTH(TODAY())=6),VLOOKUP(RIGHT(A41,1),'Tabla Vencimiento'!$A$39:$G$48,4,0),+IF(AND(D41="Tributación Simple",MONTH(TODAY())=8),VLOOKUP(RIGHT(A41,1),'Tabla Vencimiento'!$A$39:$G$48,5,0),+IF(AND(D41="Tributación Simple",MONTH(TODAY())=10),VLOOKUP(RIGHT(A41,1),'Tabla Vencimiento'!$A$39:$G$48,6,0),+IF(AND(D41="Tributación Simple",MONTH(TODAY())=12),VLOOKUP(RIGHT(A41,1),'Tabla Vencimiento'!$A$39:$G$48,7,0),0))))))</f>
        <v>0</v>
      </c>
      <c r="J41" s="56">
        <f>+IF(AND(D41="Ordinario",E41="PN"),VLOOKUP(RIGHT(A41,2),'Tabla Vencimiento'!$I$40:$J$139,2,0),+IF(AND(D41="Ordinario",E41="PN"),VLOOKUP(RIGHT(A41,2),'Tabla Vencimiento'!$J$40:$J$139,2,0),+IF(AND(D41="Tributación Simple",E41="PN"),0,+IF(AND(D41="Tributación Simple",E41="PJ"),0,+IF(AND(RIGHT(A41,2)&gt;='Tabla Vencimiento'!$A$16,RIGHT(A41,2)&lt;='Tabla Vencimiento'!$B$16),'Tabla Vencimiento'!$C$16,IF(AND(RIGHT(A41,2)&gt;='Tabla Vencimiento'!$A$17,RIGHT(A41,2)&lt;='Tabla Vencimiento'!$B$17),'Tabla Vencimiento'!$C$17,IF(AND(RIGHT(A41,2)&gt;='Tabla Vencimiento'!$A$18,RIGHT(A41,2)&lt;='Tabla Vencimiento'!$B$18),'Tabla Vencimiento'!$C$18,IF(AND(RIGHT(A41,2)&gt;='Tabla Vencimiento'!$A$19,RIGHT(A41,2)&lt;='Tabla Vencimiento'!$B$19),'Tabla Vencimiento'!$C$19,IF(AND(RIGHT(A41,2)&gt;='Tabla Vencimiento'!$A$20,RIGHT(A41,2)&lt;='Tabla Vencimiento'!$B$20),'Tabla Vencimiento'!$C$20,IF(AND(RIGHT(A41,2)&gt;='Tabla Vencimiento'!$A$21,RIGHT(A41,2)&lt;='Tabla Vencimiento'!$B$21),'Tabla Vencimiento'!$C$21,IF(AND(RIGHT(A41,2)&gt;='Tabla Vencimiento'!$A$22,RIGHT(A41,2)&lt;='Tabla Vencimiento'!$B$22),'Tabla Vencimiento'!$C$22,IF(AND(RIGHT(A41,2)&gt;='Tabla Vencimiento'!$A$23,RIGHT(A41,2)&lt;='Tabla Vencimiento'!$B$23),'Tabla Vencimiento'!$C$23,IF(AND(RIGHT(A41,2)&gt;='Tabla Vencimiento'!$A$24,RIGHT(A41,2)&lt;='Tabla Vencimiento'!$B$24),'Tabla Vencimiento'!$C$24,IF(AND(RIGHT(A41,2)&gt;='Tabla Vencimiento'!$A$25,RIGHT(A41,2)&lt;='Tabla Vencimiento'!$B$25),'Tabla Vencimiento'!$C$25,IF(AND(RIGHT(A41,2)&gt;='Tabla Vencimiento'!$A$26,RIGHT(A41,2)&lt;='Tabla Vencimiento'!$B$26),'Tabla Vencimiento'!$C$26,IF(AND(RIGHT(A41,2)&gt;='Tabla Vencimiento'!$A$27,RIGHT(A41,2)&lt;='Tabla Vencimiento'!$B$27),'Tabla Vencimiento'!$C$27,IF(AND(RIGHT(A41,2)&gt;='Tabla Vencimiento'!$A$28,RIGHT(A41,2)&lt;='Tabla Vencimiento'!$B$28),'Tabla Vencimiento'!$C$28,IF(AND(RIGHT(A41,2)&gt;='Tabla Vencimiento'!$A$29,RIGHT(A41,2)&lt;='Tabla Vencimiento'!$B$29),'Tabla Vencimiento'!$C$29,IF(AND(RIGHT(A41,2)&gt;='Tabla Vencimiento'!$A$30,RIGHT(A41,2)&lt;='Tabla Vencimiento'!$B$30),'Tabla Vencimiento'!$C$30,IF(AND(RIGHT(A41,2)&gt;='Tabla Vencimiento'!$A$31,RIGHT(A41,2)&lt;='Tabla Vencimiento'!$B$31),'Tabla Vencimiento'!$C$31,IF(AND(RIGHT(A41,2)&gt;='Tabla Vencimiento'!$A$32,RIGHT(A41,2)&lt;='Tabla Vencimiento'!$B$32),'Tabla Vencimiento'!$C$32,IF(AND(RIGHT(A41,2)&gt;='Tabla Vencimiento'!$A$33,RIGHT(A41,2)&lt;='Tabla Vencimiento'!$B$33),'Tabla Vencimiento'!$C$33,IF(AND(RIGHT(A41,2)&gt;='Tabla Vencimiento'!$A$34,RIGHT(A41,2)&lt;='Tabla Vencimiento'!$B$34),'Tabla Vencimiento'!$C$34,IF(AND(RIGHT(A41,2)&gt;='Tabla Vencimiento'!$A$35),'Tabla Vencimiento'!$C$35,0))))))))))))))))))))))))</f>
        <v>0</v>
      </c>
      <c r="K41" s="56">
        <f>+IF((D41="Tributación Simple"),VLOOKUP(RIGHT(A41,1),'Tabla Vencimiento'!$F$17:$G$26,2,0),0)</f>
        <v>0</v>
      </c>
      <c r="L41" s="56">
        <f>+IF(AND(RIGHT(A41,2) &gt;='Tabla Vencimiento'!$A$16,RIGHT(A41,2) &lt;='Tabla Vencimiento'!$B$16),'Tabla Vencimiento'!$D$16,IF(AND(RIGHT(A41,2) &gt;='Tabla Vencimiento'!$A$17,RIGHT(A41,2) &lt;='Tabla Vencimiento'!$B$17),'Tabla Vencimiento'!$D$17,IF(AND(RIGHT(A41,2) &gt;='Tabla Vencimiento'!$A$18,RIGHT(A41,2) &lt;='Tabla Vencimiento'!$B$18),'Tabla Vencimiento'!$D$18,IF(AND(RIGHT(A41,2) &gt;='Tabla Vencimiento'!$A$19,RIGHT(A41,2) &lt;='Tabla Vencimiento'!$B$19),'Tabla Vencimiento'!$D$19,IF(AND(RIGHT(A41,2) &gt;='Tabla Vencimiento'!$A$20,RIGHT(A41,2) &lt;='Tabla Vencimiento'!$B$20),'Tabla Vencimiento'!$D$20,IF(AND(RIGHT(A41,2) &gt;='Tabla Vencimiento'!$A$21,RIGHT(A41,2) &lt;='Tabla Vencimiento'!$B$21),'Tabla Vencimiento'!$D$21,IF(AND(RIGHT(A41,2) &gt;='Tabla Vencimiento'!$A$22,RIGHT(A41,2) &lt;='Tabla Vencimiento'!$B$22),'Tabla Vencimiento'!$D$22,IF(AND(RIGHT(A41,2) &gt;='Tabla Vencimiento'!$A$23,RIGHT(A41,2) &lt;='Tabla Vencimiento'!$B$23),'Tabla Vencimiento'!$D$23,IF(AND(RIGHT(A41,2) &gt;='Tabla Vencimiento'!$A$24,RIGHT(A41,2) &lt;='Tabla Vencimiento'!$B$24),'Tabla Vencimiento'!$D$24,IF(AND(RIGHT(A41,2) &gt;='Tabla Vencimiento'!$A$25,RIGHT(A41,2) &lt;='Tabla Vencimiento'!$B$25),'Tabla Vencimiento'!$D$25,IF(AND(RIGHT(A41,2) &gt;='Tabla Vencimiento'!$A$26,RIGHT(A41,2) &lt;='Tabla Vencimiento'!$B$26),'Tabla Vencimiento'!$D$26,IF(AND(RIGHT(A41,2) &gt;='Tabla Vencimiento'!$A$27,RIGHT(A41,2) &lt;='Tabla Vencimiento'!$B$27),'Tabla Vencimiento'!$D$27,IF(AND(RIGHT(A41,2) &gt;='Tabla Vencimiento'!$A$28,RIGHT(A41,2) &lt;='Tabla Vencimiento'!$B$28),'Tabla Vencimiento'!$D$28,IF(AND(RIGHT(A41,2) &gt;='Tabla Vencimiento'!$A$29,RIGHT(A41,2) &lt;='Tabla Vencimiento'!$B$29),'Tabla Vencimiento'!$D$29,IF(AND(RIGHT(A41,2) &gt;='Tabla Vencimiento'!$A$30,RIGHT(A41,2) &lt;='Tabla Vencimiento'!$B$30),'Tabla Vencimiento'!$D$30,IF(AND(RIGHT(A41,2) &gt;='Tabla Vencimiento'!$A$31,RIGHT(A41,2) &lt;='Tabla Vencimiento'!$B$31),'Tabla Vencimiento'!$D$31,IF(AND(RIGHT(A41,2) &gt;='Tabla Vencimiento'!$A$32,RIGHT(A41,2) &lt;='Tabla Vencimiento'!$B$32),'Tabla Vencimiento'!$D$32,IF(AND(RIGHT(A41,2) &gt;='Tabla Vencimiento'!$A$33,RIGHT(A41,2) &lt;='Tabla Vencimiento'!$B$33),'Tabla Vencimiento'!$D$33,IF(AND(RIGHT(A41,2) &gt;='Tabla Vencimiento'!$A$34,RIGHT(A41,2) &lt;='Tabla Vencimiento'!$B$34),'Tabla Vencimiento'!$D$34,IF(AND(RIGHT(A41,2) &gt;='Tabla Vencimiento'!$A$35),'Tabla Vencimiento'!$D$35,0))))))))))))))))))))</f>
        <v>0</v>
      </c>
    </row>
    <row r="42" spans="1:12" x14ac:dyDescent="0.45">
      <c r="A42" s="52"/>
      <c r="B42" s="52"/>
      <c r="C42" s="52"/>
      <c r="D42" s="52"/>
      <c r="E42" s="52"/>
      <c r="F42" s="56" t="b">
        <f ca="1">IFERROR(+IF(MONTH(TODAY())=2,VLOOKUP(RIGHT(A42,1),'Tabla Vencimiento'!$A$3:$B$12,2,IF(MONTH(TODAY())=3,VLOOKUP(RIGHT(A42,1),'Tabla Vencimiento'!$A$3:$C$12,3),IF(MONTH(TODAY())=4,VLOOKUP(RIGHT(A42,1),'Tabla Vencimiento'!$A$3:$D$12,4),IF(MONTH(TODAY())=5,VLOOKUP(RIGHT(A42,1),'Tabla Vencimiento'!$A$3:$E$12,5,0),IF(MONTH(TODAY())=6,VLOOKUP(RIGHT(A42,1),'Tabla Vencimiento'!$A$3:$F$12,6),IF(MONTH(TODAY())=7,VLOOKUP(RIGHT(A42,1),'Tabla Vencimiento'!$A$3:$G$12,7),IF(MONTH(TODAY())=8,VLOOKUP(RIGHT(A42,1),'Tabla Vencimiento'!$A$3:$H$12,8),IF(MONTH(TODAY())=9,VLOOKUP(RIGHT(A42,1),'Tabla Vencimiento'!$A$3:$I$12,9),IF(MONTH(TODAY())=10,VLOOKUP(RIGHT(A42,1),'Tabla Vencimiento'!$A$3:$J$12,10),IF(MONTH(TODAY())=11,VLOOKUP(RIGHT(A42,1),'Tabla Vencimiento'!$A$3:$K$12,11),IF(MONTH(TODAY())=12,VLOOKUP(RIGHT(A42,1),'Tabla Vencimiento'!$A$3:$L$12,12),0)))))))))))),0)</f>
        <v>0</v>
      </c>
      <c r="G42" s="56">
        <f ca="1">IFERROR(+IF(C42="No Responsable", 0,+IF(D42="Tributación Simple", 0,+IF(AND(C42="Bimestral",MONTH(TODAY())-1&lt;=2),VLOOKUP(RIGHT(A42,1),'Tabla Vencimiento'!$A$3:$C$12,3,0),IF(AND(C42="Bimestral",MONTH(TODAY())-1&lt;=4),VLOOKUP(RIGHT(A42,1),'Tabla Vencimiento'!$A$3:$E$12,5,0),IF(AND(C42="Bimestral",MONTH(TODAY())-1&lt;=6),VLOOKUP(RIGHT(A42,1),'Tabla Vencimiento'!$A$3:$G$12,7,0),IF(AND(C42="Bimestral",MONTH(TODAY())-1&lt;=8),VLOOKUP(RIGHT(A42,1),'Tabla Vencimiento'!$A$3:$I$12,9,0),IF(AND(C42="Bimestral",MONTH(TODAY())-1=10),VLOOKUP(RIGHT(A42,1),'Tabla Vencimiento'!$A$3:$K$12,11,0),IF(AND(C42="Bimestral",MONTH(TODAY())-1&lt;=12),VLOOKUP(RIGHT(A42,1),'Tabla Vencimiento'!$A$3:$M$12,13,0),IF(AND(C42="Cuatrimestral",MONTH(TODAY())-1&lt;=4),VLOOKUP(RIGHT(A42,1),'Tabla Vencimiento'!$A$3:$E$12,5,0),IF(AND(C42="Cuatrimestral",MONTH(TODAY())-1&lt;=8),VLOOKUP(RIGHT(A42,1),'Tabla Vencimiento'!$A$3:$I$12,9,0),IF(AND(C42="Cuatrimestral",MONTH(TODAY())-1&lt;=12),VLOOKUP(RIGHT(A42,1),'Tabla Vencimiento'!$A$3:$M$12,13,0),0))))))))))),0)</f>
        <v>0</v>
      </c>
      <c r="H42" s="57">
        <f ca="1">+IF(AND(D42="Tributación Simple",MONTH(TODAY())=2),VLOOKUP(RIGHT(A42,1),'Tabla Vencimiento'!$I$17:$J$26,2,0),0)</f>
        <v>0</v>
      </c>
      <c r="I42" s="56">
        <f ca="1">+IF(AND(D42="Tributación Simple",MONTH(TODAY())=2),VLOOKUP(RIGHT(A42,1),'Tabla Vencimiento'!$A$39:$G$48,2,0),+IF(AND(D42="Tributación Simple",MONTH(TODAY())=4),VLOOKUP(RIGHT(A42,1),'Tabla Vencimiento'!$A$39:$G$48,3,0),+IF(AND(D42="Tributación Simple",MONTH(TODAY())=6),VLOOKUP(RIGHT(A42,1),'Tabla Vencimiento'!$A$39:$G$48,4,0),+IF(AND(D42="Tributación Simple",MONTH(TODAY())=8),VLOOKUP(RIGHT(A42,1),'Tabla Vencimiento'!$A$39:$G$48,5,0),+IF(AND(D42="Tributación Simple",MONTH(TODAY())=10),VLOOKUP(RIGHT(A42,1),'Tabla Vencimiento'!$A$39:$G$48,6,0),+IF(AND(D42="Tributación Simple",MONTH(TODAY())=12),VLOOKUP(RIGHT(A42,1),'Tabla Vencimiento'!$A$39:$G$48,7,0),0))))))</f>
        <v>0</v>
      </c>
      <c r="J42" s="56">
        <f>+IF(AND(D42="Ordinario",E42="PN"),VLOOKUP(RIGHT(A42,2),'Tabla Vencimiento'!$I$40:$J$139,2,0),+IF(AND(D42="Ordinario",E42="PN"),VLOOKUP(RIGHT(A42,2),'Tabla Vencimiento'!$J$40:$J$139,2,0),+IF(AND(D42="Tributación Simple",E42="PN"),0,+IF(AND(D42="Tributación Simple",E42="PJ"),0,+IF(AND(RIGHT(A42,2)&gt;='Tabla Vencimiento'!$A$16,RIGHT(A42,2)&lt;='Tabla Vencimiento'!$B$16),'Tabla Vencimiento'!$C$16,IF(AND(RIGHT(A42,2)&gt;='Tabla Vencimiento'!$A$17,RIGHT(A42,2)&lt;='Tabla Vencimiento'!$B$17),'Tabla Vencimiento'!$C$17,IF(AND(RIGHT(A42,2)&gt;='Tabla Vencimiento'!$A$18,RIGHT(A42,2)&lt;='Tabla Vencimiento'!$B$18),'Tabla Vencimiento'!$C$18,IF(AND(RIGHT(A42,2)&gt;='Tabla Vencimiento'!$A$19,RIGHT(A42,2)&lt;='Tabla Vencimiento'!$B$19),'Tabla Vencimiento'!$C$19,IF(AND(RIGHT(A42,2)&gt;='Tabla Vencimiento'!$A$20,RIGHT(A42,2)&lt;='Tabla Vencimiento'!$B$20),'Tabla Vencimiento'!$C$20,IF(AND(RIGHT(A42,2)&gt;='Tabla Vencimiento'!$A$21,RIGHT(A42,2)&lt;='Tabla Vencimiento'!$B$21),'Tabla Vencimiento'!$C$21,IF(AND(RIGHT(A42,2)&gt;='Tabla Vencimiento'!$A$22,RIGHT(A42,2)&lt;='Tabla Vencimiento'!$B$22),'Tabla Vencimiento'!$C$22,IF(AND(RIGHT(A42,2)&gt;='Tabla Vencimiento'!$A$23,RIGHT(A42,2)&lt;='Tabla Vencimiento'!$B$23),'Tabla Vencimiento'!$C$23,IF(AND(RIGHT(A42,2)&gt;='Tabla Vencimiento'!$A$24,RIGHT(A42,2)&lt;='Tabla Vencimiento'!$B$24),'Tabla Vencimiento'!$C$24,IF(AND(RIGHT(A42,2)&gt;='Tabla Vencimiento'!$A$25,RIGHT(A42,2)&lt;='Tabla Vencimiento'!$B$25),'Tabla Vencimiento'!$C$25,IF(AND(RIGHT(A42,2)&gt;='Tabla Vencimiento'!$A$26,RIGHT(A42,2)&lt;='Tabla Vencimiento'!$B$26),'Tabla Vencimiento'!$C$26,IF(AND(RIGHT(A42,2)&gt;='Tabla Vencimiento'!$A$27,RIGHT(A42,2)&lt;='Tabla Vencimiento'!$B$27),'Tabla Vencimiento'!$C$27,IF(AND(RIGHT(A42,2)&gt;='Tabla Vencimiento'!$A$28,RIGHT(A42,2)&lt;='Tabla Vencimiento'!$B$28),'Tabla Vencimiento'!$C$28,IF(AND(RIGHT(A42,2)&gt;='Tabla Vencimiento'!$A$29,RIGHT(A42,2)&lt;='Tabla Vencimiento'!$B$29),'Tabla Vencimiento'!$C$29,IF(AND(RIGHT(A42,2)&gt;='Tabla Vencimiento'!$A$30,RIGHT(A42,2)&lt;='Tabla Vencimiento'!$B$30),'Tabla Vencimiento'!$C$30,IF(AND(RIGHT(A42,2)&gt;='Tabla Vencimiento'!$A$31,RIGHT(A42,2)&lt;='Tabla Vencimiento'!$B$31),'Tabla Vencimiento'!$C$31,IF(AND(RIGHT(A42,2)&gt;='Tabla Vencimiento'!$A$32,RIGHT(A42,2)&lt;='Tabla Vencimiento'!$B$32),'Tabla Vencimiento'!$C$32,IF(AND(RIGHT(A42,2)&gt;='Tabla Vencimiento'!$A$33,RIGHT(A42,2)&lt;='Tabla Vencimiento'!$B$33),'Tabla Vencimiento'!$C$33,IF(AND(RIGHT(A42,2)&gt;='Tabla Vencimiento'!$A$34,RIGHT(A42,2)&lt;='Tabla Vencimiento'!$B$34),'Tabla Vencimiento'!$C$34,IF(AND(RIGHT(A42,2)&gt;='Tabla Vencimiento'!$A$35),'Tabla Vencimiento'!$C$35,0))))))))))))))))))))))))</f>
        <v>0</v>
      </c>
      <c r="K42" s="56">
        <f>+IF((D42="Tributación Simple"),VLOOKUP(RIGHT(A42,1),'Tabla Vencimiento'!$F$17:$G$26,2,0),0)</f>
        <v>0</v>
      </c>
      <c r="L42" s="56">
        <f>+IF(AND(RIGHT(A42,2) &gt;='Tabla Vencimiento'!$A$16,RIGHT(A42,2) &lt;='Tabla Vencimiento'!$B$16),'Tabla Vencimiento'!$D$16,IF(AND(RIGHT(A42,2) &gt;='Tabla Vencimiento'!$A$17,RIGHT(A42,2) &lt;='Tabla Vencimiento'!$B$17),'Tabla Vencimiento'!$D$17,IF(AND(RIGHT(A42,2) &gt;='Tabla Vencimiento'!$A$18,RIGHT(A42,2) &lt;='Tabla Vencimiento'!$B$18),'Tabla Vencimiento'!$D$18,IF(AND(RIGHT(A42,2) &gt;='Tabla Vencimiento'!$A$19,RIGHT(A42,2) &lt;='Tabla Vencimiento'!$B$19),'Tabla Vencimiento'!$D$19,IF(AND(RIGHT(A42,2) &gt;='Tabla Vencimiento'!$A$20,RIGHT(A42,2) &lt;='Tabla Vencimiento'!$B$20),'Tabla Vencimiento'!$D$20,IF(AND(RIGHT(A42,2) &gt;='Tabla Vencimiento'!$A$21,RIGHT(A42,2) &lt;='Tabla Vencimiento'!$B$21),'Tabla Vencimiento'!$D$21,IF(AND(RIGHT(A42,2) &gt;='Tabla Vencimiento'!$A$22,RIGHT(A42,2) &lt;='Tabla Vencimiento'!$B$22),'Tabla Vencimiento'!$D$22,IF(AND(RIGHT(A42,2) &gt;='Tabla Vencimiento'!$A$23,RIGHT(A42,2) &lt;='Tabla Vencimiento'!$B$23),'Tabla Vencimiento'!$D$23,IF(AND(RIGHT(A42,2) &gt;='Tabla Vencimiento'!$A$24,RIGHT(A42,2) &lt;='Tabla Vencimiento'!$B$24),'Tabla Vencimiento'!$D$24,IF(AND(RIGHT(A42,2) &gt;='Tabla Vencimiento'!$A$25,RIGHT(A42,2) &lt;='Tabla Vencimiento'!$B$25),'Tabla Vencimiento'!$D$25,IF(AND(RIGHT(A42,2) &gt;='Tabla Vencimiento'!$A$26,RIGHT(A42,2) &lt;='Tabla Vencimiento'!$B$26),'Tabla Vencimiento'!$D$26,IF(AND(RIGHT(A42,2) &gt;='Tabla Vencimiento'!$A$27,RIGHT(A42,2) &lt;='Tabla Vencimiento'!$B$27),'Tabla Vencimiento'!$D$27,IF(AND(RIGHT(A42,2) &gt;='Tabla Vencimiento'!$A$28,RIGHT(A42,2) &lt;='Tabla Vencimiento'!$B$28),'Tabla Vencimiento'!$D$28,IF(AND(RIGHT(A42,2) &gt;='Tabla Vencimiento'!$A$29,RIGHT(A42,2) &lt;='Tabla Vencimiento'!$B$29),'Tabla Vencimiento'!$D$29,IF(AND(RIGHT(A42,2) &gt;='Tabla Vencimiento'!$A$30,RIGHT(A42,2) &lt;='Tabla Vencimiento'!$B$30),'Tabla Vencimiento'!$D$30,IF(AND(RIGHT(A42,2) &gt;='Tabla Vencimiento'!$A$31,RIGHT(A42,2) &lt;='Tabla Vencimiento'!$B$31),'Tabla Vencimiento'!$D$31,IF(AND(RIGHT(A42,2) &gt;='Tabla Vencimiento'!$A$32,RIGHT(A42,2) &lt;='Tabla Vencimiento'!$B$32),'Tabla Vencimiento'!$D$32,IF(AND(RIGHT(A42,2) &gt;='Tabla Vencimiento'!$A$33,RIGHT(A42,2) &lt;='Tabla Vencimiento'!$B$33),'Tabla Vencimiento'!$D$33,IF(AND(RIGHT(A42,2) &gt;='Tabla Vencimiento'!$A$34,RIGHT(A42,2) &lt;='Tabla Vencimiento'!$B$34),'Tabla Vencimiento'!$D$34,IF(AND(RIGHT(A42,2) &gt;='Tabla Vencimiento'!$A$35),'Tabla Vencimiento'!$D$35,0))))))))))))))))))))</f>
        <v>0</v>
      </c>
    </row>
    <row r="43" spans="1:12" x14ac:dyDescent="0.45">
      <c r="A43" s="52"/>
      <c r="B43" s="52"/>
      <c r="C43" s="52"/>
      <c r="D43" s="52"/>
      <c r="E43" s="52"/>
      <c r="F43" s="56" t="b">
        <f ca="1">IFERROR(+IF(MONTH(TODAY())=2,VLOOKUP(RIGHT(A43,1),'Tabla Vencimiento'!$A$3:$B$12,2,IF(MONTH(TODAY())=3,VLOOKUP(RIGHT(A43,1),'Tabla Vencimiento'!$A$3:$C$12,3),IF(MONTH(TODAY())=4,VLOOKUP(RIGHT(A43,1),'Tabla Vencimiento'!$A$3:$D$12,4),IF(MONTH(TODAY())=5,VLOOKUP(RIGHT(A43,1),'Tabla Vencimiento'!$A$3:$E$12,5,0),IF(MONTH(TODAY())=6,VLOOKUP(RIGHT(A43,1),'Tabla Vencimiento'!$A$3:$F$12,6),IF(MONTH(TODAY())=7,VLOOKUP(RIGHT(A43,1),'Tabla Vencimiento'!$A$3:$G$12,7),IF(MONTH(TODAY())=8,VLOOKUP(RIGHT(A43,1),'Tabla Vencimiento'!$A$3:$H$12,8),IF(MONTH(TODAY())=9,VLOOKUP(RIGHT(A43,1),'Tabla Vencimiento'!$A$3:$I$12,9),IF(MONTH(TODAY())=10,VLOOKUP(RIGHT(A43,1),'Tabla Vencimiento'!$A$3:$J$12,10),IF(MONTH(TODAY())=11,VLOOKUP(RIGHT(A43,1),'Tabla Vencimiento'!$A$3:$K$12,11),IF(MONTH(TODAY())=12,VLOOKUP(RIGHT(A43,1),'Tabla Vencimiento'!$A$3:$L$12,12),0)))))))))))),0)</f>
        <v>0</v>
      </c>
      <c r="G43" s="56">
        <f ca="1">IFERROR(+IF(C43="No Responsable", 0,+IF(D43="Tributación Simple", 0,+IF(AND(C43="Bimestral",MONTH(TODAY())-1&lt;=2),VLOOKUP(RIGHT(A43,1),'Tabla Vencimiento'!$A$3:$C$12,3,0),IF(AND(C43="Bimestral",MONTH(TODAY())-1&lt;=4),VLOOKUP(RIGHT(A43,1),'Tabla Vencimiento'!$A$3:$E$12,5,0),IF(AND(C43="Bimestral",MONTH(TODAY())-1&lt;=6),VLOOKUP(RIGHT(A43,1),'Tabla Vencimiento'!$A$3:$G$12,7,0),IF(AND(C43="Bimestral",MONTH(TODAY())-1&lt;=8),VLOOKUP(RIGHT(A43,1),'Tabla Vencimiento'!$A$3:$I$12,9,0),IF(AND(C43="Bimestral",MONTH(TODAY())-1=10),VLOOKUP(RIGHT(A43,1),'Tabla Vencimiento'!$A$3:$K$12,11,0),IF(AND(C43="Bimestral",MONTH(TODAY())-1&lt;=12),VLOOKUP(RIGHT(A43,1),'Tabla Vencimiento'!$A$3:$M$12,13,0),IF(AND(C43="Cuatrimestral",MONTH(TODAY())-1&lt;=4),VLOOKUP(RIGHT(A43,1),'Tabla Vencimiento'!$A$3:$E$12,5,0),IF(AND(C43="Cuatrimestral",MONTH(TODAY())-1&lt;=8),VLOOKUP(RIGHT(A43,1),'Tabla Vencimiento'!$A$3:$I$12,9,0),IF(AND(C43="Cuatrimestral",MONTH(TODAY())-1&lt;=12),VLOOKUP(RIGHT(A43,1),'Tabla Vencimiento'!$A$3:$M$12,13,0),0))))))))))),0)</f>
        <v>0</v>
      </c>
      <c r="H43" s="57">
        <f ca="1">+IF(AND(D43="Tributación Simple",MONTH(TODAY())=2),VLOOKUP(RIGHT(A43,1),'Tabla Vencimiento'!$I$17:$J$26,2,0),0)</f>
        <v>0</v>
      </c>
      <c r="I43" s="56">
        <f ca="1">+IF(AND(D43="Tributación Simple",MONTH(TODAY())=2),VLOOKUP(RIGHT(A43,1),'Tabla Vencimiento'!$A$39:$G$48,2,0),+IF(AND(D43="Tributación Simple",MONTH(TODAY())=4),VLOOKUP(RIGHT(A43,1),'Tabla Vencimiento'!$A$39:$G$48,3,0),+IF(AND(D43="Tributación Simple",MONTH(TODAY())=6),VLOOKUP(RIGHT(A43,1),'Tabla Vencimiento'!$A$39:$G$48,4,0),+IF(AND(D43="Tributación Simple",MONTH(TODAY())=8),VLOOKUP(RIGHT(A43,1),'Tabla Vencimiento'!$A$39:$G$48,5,0),+IF(AND(D43="Tributación Simple",MONTH(TODAY())=10),VLOOKUP(RIGHT(A43,1),'Tabla Vencimiento'!$A$39:$G$48,6,0),+IF(AND(D43="Tributación Simple",MONTH(TODAY())=12),VLOOKUP(RIGHT(A43,1),'Tabla Vencimiento'!$A$39:$G$48,7,0),0))))))</f>
        <v>0</v>
      </c>
      <c r="J43" s="56">
        <f>+IF(AND(D43="Ordinario",E43="PN"),VLOOKUP(RIGHT(A43,2),'Tabla Vencimiento'!$I$40:$J$139,2,0),+IF(AND(D43="Ordinario",E43="PN"),VLOOKUP(RIGHT(A43,2),'Tabla Vencimiento'!$J$40:$J$139,2,0),+IF(AND(D43="Tributación Simple",E43="PN"),0,+IF(AND(D43="Tributación Simple",E43="PJ"),0,+IF(AND(RIGHT(A43,2)&gt;='Tabla Vencimiento'!$A$16,RIGHT(A43,2)&lt;='Tabla Vencimiento'!$B$16),'Tabla Vencimiento'!$C$16,IF(AND(RIGHT(A43,2)&gt;='Tabla Vencimiento'!$A$17,RIGHT(A43,2)&lt;='Tabla Vencimiento'!$B$17),'Tabla Vencimiento'!$C$17,IF(AND(RIGHT(A43,2)&gt;='Tabla Vencimiento'!$A$18,RIGHT(A43,2)&lt;='Tabla Vencimiento'!$B$18),'Tabla Vencimiento'!$C$18,IF(AND(RIGHT(A43,2)&gt;='Tabla Vencimiento'!$A$19,RIGHT(A43,2)&lt;='Tabla Vencimiento'!$B$19),'Tabla Vencimiento'!$C$19,IF(AND(RIGHT(A43,2)&gt;='Tabla Vencimiento'!$A$20,RIGHT(A43,2)&lt;='Tabla Vencimiento'!$B$20),'Tabla Vencimiento'!$C$20,IF(AND(RIGHT(A43,2)&gt;='Tabla Vencimiento'!$A$21,RIGHT(A43,2)&lt;='Tabla Vencimiento'!$B$21),'Tabla Vencimiento'!$C$21,IF(AND(RIGHT(A43,2)&gt;='Tabla Vencimiento'!$A$22,RIGHT(A43,2)&lt;='Tabla Vencimiento'!$B$22),'Tabla Vencimiento'!$C$22,IF(AND(RIGHT(A43,2)&gt;='Tabla Vencimiento'!$A$23,RIGHT(A43,2)&lt;='Tabla Vencimiento'!$B$23),'Tabla Vencimiento'!$C$23,IF(AND(RIGHT(A43,2)&gt;='Tabla Vencimiento'!$A$24,RIGHT(A43,2)&lt;='Tabla Vencimiento'!$B$24),'Tabla Vencimiento'!$C$24,IF(AND(RIGHT(A43,2)&gt;='Tabla Vencimiento'!$A$25,RIGHT(A43,2)&lt;='Tabla Vencimiento'!$B$25),'Tabla Vencimiento'!$C$25,IF(AND(RIGHT(A43,2)&gt;='Tabla Vencimiento'!$A$26,RIGHT(A43,2)&lt;='Tabla Vencimiento'!$B$26),'Tabla Vencimiento'!$C$26,IF(AND(RIGHT(A43,2)&gt;='Tabla Vencimiento'!$A$27,RIGHT(A43,2)&lt;='Tabla Vencimiento'!$B$27),'Tabla Vencimiento'!$C$27,IF(AND(RIGHT(A43,2)&gt;='Tabla Vencimiento'!$A$28,RIGHT(A43,2)&lt;='Tabla Vencimiento'!$B$28),'Tabla Vencimiento'!$C$28,IF(AND(RIGHT(A43,2)&gt;='Tabla Vencimiento'!$A$29,RIGHT(A43,2)&lt;='Tabla Vencimiento'!$B$29),'Tabla Vencimiento'!$C$29,IF(AND(RIGHT(A43,2)&gt;='Tabla Vencimiento'!$A$30,RIGHT(A43,2)&lt;='Tabla Vencimiento'!$B$30),'Tabla Vencimiento'!$C$30,IF(AND(RIGHT(A43,2)&gt;='Tabla Vencimiento'!$A$31,RIGHT(A43,2)&lt;='Tabla Vencimiento'!$B$31),'Tabla Vencimiento'!$C$31,IF(AND(RIGHT(A43,2)&gt;='Tabla Vencimiento'!$A$32,RIGHT(A43,2)&lt;='Tabla Vencimiento'!$B$32),'Tabla Vencimiento'!$C$32,IF(AND(RIGHT(A43,2)&gt;='Tabla Vencimiento'!$A$33,RIGHT(A43,2)&lt;='Tabla Vencimiento'!$B$33),'Tabla Vencimiento'!$C$33,IF(AND(RIGHT(A43,2)&gt;='Tabla Vencimiento'!$A$34,RIGHT(A43,2)&lt;='Tabla Vencimiento'!$B$34),'Tabla Vencimiento'!$C$34,IF(AND(RIGHT(A43,2)&gt;='Tabla Vencimiento'!$A$35),'Tabla Vencimiento'!$C$35,0))))))))))))))))))))))))</f>
        <v>0</v>
      </c>
      <c r="K43" s="56">
        <f>+IF((D43="Tributación Simple"),VLOOKUP(RIGHT(A43,1),'Tabla Vencimiento'!$F$17:$G$26,2,0),0)</f>
        <v>0</v>
      </c>
      <c r="L43" s="56">
        <f>+IF(AND(RIGHT(A43,2) &gt;='Tabla Vencimiento'!$A$16,RIGHT(A43,2) &lt;='Tabla Vencimiento'!$B$16),'Tabla Vencimiento'!$D$16,IF(AND(RIGHT(A43,2) &gt;='Tabla Vencimiento'!$A$17,RIGHT(A43,2) &lt;='Tabla Vencimiento'!$B$17),'Tabla Vencimiento'!$D$17,IF(AND(RIGHT(A43,2) &gt;='Tabla Vencimiento'!$A$18,RIGHT(A43,2) &lt;='Tabla Vencimiento'!$B$18),'Tabla Vencimiento'!$D$18,IF(AND(RIGHT(A43,2) &gt;='Tabla Vencimiento'!$A$19,RIGHT(A43,2) &lt;='Tabla Vencimiento'!$B$19),'Tabla Vencimiento'!$D$19,IF(AND(RIGHT(A43,2) &gt;='Tabla Vencimiento'!$A$20,RIGHT(A43,2) &lt;='Tabla Vencimiento'!$B$20),'Tabla Vencimiento'!$D$20,IF(AND(RIGHT(A43,2) &gt;='Tabla Vencimiento'!$A$21,RIGHT(A43,2) &lt;='Tabla Vencimiento'!$B$21),'Tabla Vencimiento'!$D$21,IF(AND(RIGHT(A43,2) &gt;='Tabla Vencimiento'!$A$22,RIGHT(A43,2) &lt;='Tabla Vencimiento'!$B$22),'Tabla Vencimiento'!$D$22,IF(AND(RIGHT(A43,2) &gt;='Tabla Vencimiento'!$A$23,RIGHT(A43,2) &lt;='Tabla Vencimiento'!$B$23),'Tabla Vencimiento'!$D$23,IF(AND(RIGHT(A43,2) &gt;='Tabla Vencimiento'!$A$24,RIGHT(A43,2) &lt;='Tabla Vencimiento'!$B$24),'Tabla Vencimiento'!$D$24,IF(AND(RIGHT(A43,2) &gt;='Tabla Vencimiento'!$A$25,RIGHT(A43,2) &lt;='Tabla Vencimiento'!$B$25),'Tabla Vencimiento'!$D$25,IF(AND(RIGHT(A43,2) &gt;='Tabla Vencimiento'!$A$26,RIGHT(A43,2) &lt;='Tabla Vencimiento'!$B$26),'Tabla Vencimiento'!$D$26,IF(AND(RIGHT(A43,2) &gt;='Tabla Vencimiento'!$A$27,RIGHT(A43,2) &lt;='Tabla Vencimiento'!$B$27),'Tabla Vencimiento'!$D$27,IF(AND(RIGHT(A43,2) &gt;='Tabla Vencimiento'!$A$28,RIGHT(A43,2) &lt;='Tabla Vencimiento'!$B$28),'Tabla Vencimiento'!$D$28,IF(AND(RIGHT(A43,2) &gt;='Tabla Vencimiento'!$A$29,RIGHT(A43,2) &lt;='Tabla Vencimiento'!$B$29),'Tabla Vencimiento'!$D$29,IF(AND(RIGHT(A43,2) &gt;='Tabla Vencimiento'!$A$30,RIGHT(A43,2) &lt;='Tabla Vencimiento'!$B$30),'Tabla Vencimiento'!$D$30,IF(AND(RIGHT(A43,2) &gt;='Tabla Vencimiento'!$A$31,RIGHT(A43,2) &lt;='Tabla Vencimiento'!$B$31),'Tabla Vencimiento'!$D$31,IF(AND(RIGHT(A43,2) &gt;='Tabla Vencimiento'!$A$32,RIGHT(A43,2) &lt;='Tabla Vencimiento'!$B$32),'Tabla Vencimiento'!$D$32,IF(AND(RIGHT(A43,2) &gt;='Tabla Vencimiento'!$A$33,RIGHT(A43,2) &lt;='Tabla Vencimiento'!$B$33),'Tabla Vencimiento'!$D$33,IF(AND(RIGHT(A43,2) &gt;='Tabla Vencimiento'!$A$34,RIGHT(A43,2) &lt;='Tabla Vencimiento'!$B$34),'Tabla Vencimiento'!$D$34,IF(AND(RIGHT(A43,2) &gt;='Tabla Vencimiento'!$A$35),'Tabla Vencimiento'!$D$35,0))))))))))))))))))))</f>
        <v>0</v>
      </c>
    </row>
    <row r="44" spans="1:12" x14ac:dyDescent="0.45">
      <c r="A44" s="52"/>
      <c r="B44" s="52"/>
      <c r="C44" s="52"/>
      <c r="D44" s="52"/>
      <c r="E44" s="52"/>
      <c r="F44" s="56" t="b">
        <f ca="1">IFERROR(+IF(MONTH(TODAY())=2,VLOOKUP(RIGHT(A44,1),'Tabla Vencimiento'!$A$3:$B$12,2,IF(MONTH(TODAY())=3,VLOOKUP(RIGHT(A44,1),'Tabla Vencimiento'!$A$3:$C$12,3),IF(MONTH(TODAY())=4,VLOOKUP(RIGHT(A44,1),'Tabla Vencimiento'!$A$3:$D$12,4),IF(MONTH(TODAY())=5,VLOOKUP(RIGHT(A44,1),'Tabla Vencimiento'!$A$3:$E$12,5,0),IF(MONTH(TODAY())=6,VLOOKUP(RIGHT(A44,1),'Tabla Vencimiento'!$A$3:$F$12,6),IF(MONTH(TODAY())=7,VLOOKUP(RIGHT(A44,1),'Tabla Vencimiento'!$A$3:$G$12,7),IF(MONTH(TODAY())=8,VLOOKUP(RIGHT(A44,1),'Tabla Vencimiento'!$A$3:$H$12,8),IF(MONTH(TODAY())=9,VLOOKUP(RIGHT(A44,1),'Tabla Vencimiento'!$A$3:$I$12,9),IF(MONTH(TODAY())=10,VLOOKUP(RIGHT(A44,1),'Tabla Vencimiento'!$A$3:$J$12,10),IF(MONTH(TODAY())=11,VLOOKUP(RIGHT(A44,1),'Tabla Vencimiento'!$A$3:$K$12,11),IF(MONTH(TODAY())=12,VLOOKUP(RIGHT(A44,1),'Tabla Vencimiento'!$A$3:$L$12,12),0)))))))))))),0)</f>
        <v>0</v>
      </c>
      <c r="G44" s="56">
        <f ca="1">IFERROR(+IF(C44="No Responsable", 0,+IF(D44="Tributación Simple", 0,+IF(AND(C44="Bimestral",MONTH(TODAY())-1&lt;=2),VLOOKUP(RIGHT(A44,1),'Tabla Vencimiento'!$A$3:$C$12,3,0),IF(AND(C44="Bimestral",MONTH(TODAY())-1&lt;=4),VLOOKUP(RIGHT(A44,1),'Tabla Vencimiento'!$A$3:$E$12,5,0),IF(AND(C44="Bimestral",MONTH(TODAY())-1&lt;=6),VLOOKUP(RIGHT(A44,1),'Tabla Vencimiento'!$A$3:$G$12,7,0),IF(AND(C44="Bimestral",MONTH(TODAY())-1&lt;=8),VLOOKUP(RIGHT(A44,1),'Tabla Vencimiento'!$A$3:$I$12,9,0),IF(AND(C44="Bimestral",MONTH(TODAY())-1=10),VLOOKUP(RIGHT(A44,1),'Tabla Vencimiento'!$A$3:$K$12,11,0),IF(AND(C44="Bimestral",MONTH(TODAY())-1&lt;=12),VLOOKUP(RIGHT(A44,1),'Tabla Vencimiento'!$A$3:$M$12,13,0),IF(AND(C44="Cuatrimestral",MONTH(TODAY())-1&lt;=4),VLOOKUP(RIGHT(A44,1),'Tabla Vencimiento'!$A$3:$E$12,5,0),IF(AND(C44="Cuatrimestral",MONTH(TODAY())-1&lt;=8),VLOOKUP(RIGHT(A44,1),'Tabla Vencimiento'!$A$3:$I$12,9,0),IF(AND(C44="Cuatrimestral",MONTH(TODAY())-1&lt;=12),VLOOKUP(RIGHT(A44,1),'Tabla Vencimiento'!$A$3:$M$12,13,0),0))))))))))),0)</f>
        <v>0</v>
      </c>
      <c r="H44" s="57">
        <f ca="1">+IF(AND(D44="Tributación Simple",MONTH(TODAY())=2),VLOOKUP(RIGHT(A44,1),'Tabla Vencimiento'!$I$17:$J$26,2,0),0)</f>
        <v>0</v>
      </c>
      <c r="I44" s="56">
        <f ca="1">+IF(AND(D44="Tributación Simple",MONTH(TODAY())=2),VLOOKUP(RIGHT(A44,1),'Tabla Vencimiento'!$A$39:$G$48,2,0),+IF(AND(D44="Tributación Simple",MONTH(TODAY())=4),VLOOKUP(RIGHT(A44,1),'Tabla Vencimiento'!$A$39:$G$48,3,0),+IF(AND(D44="Tributación Simple",MONTH(TODAY())=6),VLOOKUP(RIGHT(A44,1),'Tabla Vencimiento'!$A$39:$G$48,4,0),+IF(AND(D44="Tributación Simple",MONTH(TODAY())=8),VLOOKUP(RIGHT(A44,1),'Tabla Vencimiento'!$A$39:$G$48,5,0),+IF(AND(D44="Tributación Simple",MONTH(TODAY())=10),VLOOKUP(RIGHT(A44,1),'Tabla Vencimiento'!$A$39:$G$48,6,0),+IF(AND(D44="Tributación Simple",MONTH(TODAY())=12),VLOOKUP(RIGHT(A44,1),'Tabla Vencimiento'!$A$39:$G$48,7,0),0))))))</f>
        <v>0</v>
      </c>
      <c r="J44" s="56">
        <f>+IF(AND(D44="Ordinario",E44="PN"),VLOOKUP(RIGHT(A44,2),'Tabla Vencimiento'!$I$40:$J$139,2,0),+IF(AND(D44="Ordinario",E44="PN"),VLOOKUP(RIGHT(A44,2),'Tabla Vencimiento'!$J$40:$J$139,2,0),+IF(AND(D44="Tributación Simple",E44="PN"),0,+IF(AND(D44="Tributación Simple",E44="PJ"),0,+IF(AND(RIGHT(A44,2)&gt;='Tabla Vencimiento'!$A$16,RIGHT(A44,2)&lt;='Tabla Vencimiento'!$B$16),'Tabla Vencimiento'!$C$16,IF(AND(RIGHT(A44,2)&gt;='Tabla Vencimiento'!$A$17,RIGHT(A44,2)&lt;='Tabla Vencimiento'!$B$17),'Tabla Vencimiento'!$C$17,IF(AND(RIGHT(A44,2)&gt;='Tabla Vencimiento'!$A$18,RIGHT(A44,2)&lt;='Tabla Vencimiento'!$B$18),'Tabla Vencimiento'!$C$18,IF(AND(RIGHT(A44,2)&gt;='Tabla Vencimiento'!$A$19,RIGHT(A44,2)&lt;='Tabla Vencimiento'!$B$19),'Tabla Vencimiento'!$C$19,IF(AND(RIGHT(A44,2)&gt;='Tabla Vencimiento'!$A$20,RIGHT(A44,2)&lt;='Tabla Vencimiento'!$B$20),'Tabla Vencimiento'!$C$20,IF(AND(RIGHT(A44,2)&gt;='Tabla Vencimiento'!$A$21,RIGHT(A44,2)&lt;='Tabla Vencimiento'!$B$21),'Tabla Vencimiento'!$C$21,IF(AND(RIGHT(A44,2)&gt;='Tabla Vencimiento'!$A$22,RIGHT(A44,2)&lt;='Tabla Vencimiento'!$B$22),'Tabla Vencimiento'!$C$22,IF(AND(RIGHT(A44,2)&gt;='Tabla Vencimiento'!$A$23,RIGHT(A44,2)&lt;='Tabla Vencimiento'!$B$23),'Tabla Vencimiento'!$C$23,IF(AND(RIGHT(A44,2)&gt;='Tabla Vencimiento'!$A$24,RIGHT(A44,2)&lt;='Tabla Vencimiento'!$B$24),'Tabla Vencimiento'!$C$24,IF(AND(RIGHT(A44,2)&gt;='Tabla Vencimiento'!$A$25,RIGHT(A44,2)&lt;='Tabla Vencimiento'!$B$25),'Tabla Vencimiento'!$C$25,IF(AND(RIGHT(A44,2)&gt;='Tabla Vencimiento'!$A$26,RIGHT(A44,2)&lt;='Tabla Vencimiento'!$B$26),'Tabla Vencimiento'!$C$26,IF(AND(RIGHT(A44,2)&gt;='Tabla Vencimiento'!$A$27,RIGHT(A44,2)&lt;='Tabla Vencimiento'!$B$27),'Tabla Vencimiento'!$C$27,IF(AND(RIGHT(A44,2)&gt;='Tabla Vencimiento'!$A$28,RIGHT(A44,2)&lt;='Tabla Vencimiento'!$B$28),'Tabla Vencimiento'!$C$28,IF(AND(RIGHT(A44,2)&gt;='Tabla Vencimiento'!$A$29,RIGHT(A44,2)&lt;='Tabla Vencimiento'!$B$29),'Tabla Vencimiento'!$C$29,IF(AND(RIGHT(A44,2)&gt;='Tabla Vencimiento'!$A$30,RIGHT(A44,2)&lt;='Tabla Vencimiento'!$B$30),'Tabla Vencimiento'!$C$30,IF(AND(RIGHT(A44,2)&gt;='Tabla Vencimiento'!$A$31,RIGHT(A44,2)&lt;='Tabla Vencimiento'!$B$31),'Tabla Vencimiento'!$C$31,IF(AND(RIGHT(A44,2)&gt;='Tabla Vencimiento'!$A$32,RIGHT(A44,2)&lt;='Tabla Vencimiento'!$B$32),'Tabla Vencimiento'!$C$32,IF(AND(RIGHT(A44,2)&gt;='Tabla Vencimiento'!$A$33,RIGHT(A44,2)&lt;='Tabla Vencimiento'!$B$33),'Tabla Vencimiento'!$C$33,IF(AND(RIGHT(A44,2)&gt;='Tabla Vencimiento'!$A$34,RIGHT(A44,2)&lt;='Tabla Vencimiento'!$B$34),'Tabla Vencimiento'!$C$34,IF(AND(RIGHT(A44,2)&gt;='Tabla Vencimiento'!$A$35),'Tabla Vencimiento'!$C$35,0))))))))))))))))))))))))</f>
        <v>0</v>
      </c>
      <c r="K44" s="56">
        <f>+IF((D44="Tributación Simple"),VLOOKUP(RIGHT(A44,1),'Tabla Vencimiento'!$F$17:$G$26,2,0),0)</f>
        <v>0</v>
      </c>
      <c r="L44" s="56">
        <f>+IF(AND(RIGHT(A44,2) &gt;='Tabla Vencimiento'!$A$16,RIGHT(A44,2) &lt;='Tabla Vencimiento'!$B$16),'Tabla Vencimiento'!$D$16,IF(AND(RIGHT(A44,2) &gt;='Tabla Vencimiento'!$A$17,RIGHT(A44,2) &lt;='Tabla Vencimiento'!$B$17),'Tabla Vencimiento'!$D$17,IF(AND(RIGHT(A44,2) &gt;='Tabla Vencimiento'!$A$18,RIGHT(A44,2) &lt;='Tabla Vencimiento'!$B$18),'Tabla Vencimiento'!$D$18,IF(AND(RIGHT(A44,2) &gt;='Tabla Vencimiento'!$A$19,RIGHT(A44,2) &lt;='Tabla Vencimiento'!$B$19),'Tabla Vencimiento'!$D$19,IF(AND(RIGHT(A44,2) &gt;='Tabla Vencimiento'!$A$20,RIGHT(A44,2) &lt;='Tabla Vencimiento'!$B$20),'Tabla Vencimiento'!$D$20,IF(AND(RIGHT(A44,2) &gt;='Tabla Vencimiento'!$A$21,RIGHT(A44,2) &lt;='Tabla Vencimiento'!$B$21),'Tabla Vencimiento'!$D$21,IF(AND(RIGHT(A44,2) &gt;='Tabla Vencimiento'!$A$22,RIGHT(A44,2) &lt;='Tabla Vencimiento'!$B$22),'Tabla Vencimiento'!$D$22,IF(AND(RIGHT(A44,2) &gt;='Tabla Vencimiento'!$A$23,RIGHT(A44,2) &lt;='Tabla Vencimiento'!$B$23),'Tabla Vencimiento'!$D$23,IF(AND(RIGHT(A44,2) &gt;='Tabla Vencimiento'!$A$24,RIGHT(A44,2) &lt;='Tabla Vencimiento'!$B$24),'Tabla Vencimiento'!$D$24,IF(AND(RIGHT(A44,2) &gt;='Tabla Vencimiento'!$A$25,RIGHT(A44,2) &lt;='Tabla Vencimiento'!$B$25),'Tabla Vencimiento'!$D$25,IF(AND(RIGHT(A44,2) &gt;='Tabla Vencimiento'!$A$26,RIGHT(A44,2) &lt;='Tabla Vencimiento'!$B$26),'Tabla Vencimiento'!$D$26,IF(AND(RIGHT(A44,2) &gt;='Tabla Vencimiento'!$A$27,RIGHT(A44,2) &lt;='Tabla Vencimiento'!$B$27),'Tabla Vencimiento'!$D$27,IF(AND(RIGHT(A44,2) &gt;='Tabla Vencimiento'!$A$28,RIGHT(A44,2) &lt;='Tabla Vencimiento'!$B$28),'Tabla Vencimiento'!$D$28,IF(AND(RIGHT(A44,2) &gt;='Tabla Vencimiento'!$A$29,RIGHT(A44,2) &lt;='Tabla Vencimiento'!$B$29),'Tabla Vencimiento'!$D$29,IF(AND(RIGHT(A44,2) &gt;='Tabla Vencimiento'!$A$30,RIGHT(A44,2) &lt;='Tabla Vencimiento'!$B$30),'Tabla Vencimiento'!$D$30,IF(AND(RIGHT(A44,2) &gt;='Tabla Vencimiento'!$A$31,RIGHT(A44,2) &lt;='Tabla Vencimiento'!$B$31),'Tabla Vencimiento'!$D$31,IF(AND(RIGHT(A44,2) &gt;='Tabla Vencimiento'!$A$32,RIGHT(A44,2) &lt;='Tabla Vencimiento'!$B$32),'Tabla Vencimiento'!$D$32,IF(AND(RIGHT(A44,2) &gt;='Tabla Vencimiento'!$A$33,RIGHT(A44,2) &lt;='Tabla Vencimiento'!$B$33),'Tabla Vencimiento'!$D$33,IF(AND(RIGHT(A44,2) &gt;='Tabla Vencimiento'!$A$34,RIGHT(A44,2) &lt;='Tabla Vencimiento'!$B$34),'Tabla Vencimiento'!$D$34,IF(AND(RIGHT(A44,2) &gt;='Tabla Vencimiento'!$A$35),'Tabla Vencimiento'!$D$35,0))))))))))))))))))))</f>
        <v>0</v>
      </c>
    </row>
    <row r="45" spans="1:12" x14ac:dyDescent="0.45">
      <c r="A45" s="52"/>
      <c r="B45" s="52"/>
      <c r="C45" s="52"/>
      <c r="D45" s="52"/>
      <c r="E45" s="52"/>
      <c r="F45" s="56" t="b">
        <f ca="1">IFERROR(+IF(MONTH(TODAY())=2,VLOOKUP(RIGHT(A45,1),'Tabla Vencimiento'!$A$3:$B$12,2,IF(MONTH(TODAY())=3,VLOOKUP(RIGHT(A45,1),'Tabla Vencimiento'!$A$3:$C$12,3),IF(MONTH(TODAY())=4,VLOOKUP(RIGHT(A45,1),'Tabla Vencimiento'!$A$3:$D$12,4),IF(MONTH(TODAY())=5,VLOOKUP(RIGHT(A45,1),'Tabla Vencimiento'!$A$3:$E$12,5,0),IF(MONTH(TODAY())=6,VLOOKUP(RIGHT(A45,1),'Tabla Vencimiento'!$A$3:$F$12,6),IF(MONTH(TODAY())=7,VLOOKUP(RIGHT(A45,1),'Tabla Vencimiento'!$A$3:$G$12,7),IF(MONTH(TODAY())=8,VLOOKUP(RIGHT(A45,1),'Tabla Vencimiento'!$A$3:$H$12,8),IF(MONTH(TODAY())=9,VLOOKUP(RIGHT(A45,1),'Tabla Vencimiento'!$A$3:$I$12,9),IF(MONTH(TODAY())=10,VLOOKUP(RIGHT(A45,1),'Tabla Vencimiento'!$A$3:$J$12,10),IF(MONTH(TODAY())=11,VLOOKUP(RIGHT(A45,1),'Tabla Vencimiento'!$A$3:$K$12,11),IF(MONTH(TODAY())=12,VLOOKUP(RIGHT(A45,1),'Tabla Vencimiento'!$A$3:$L$12,12),0)))))))))))),0)</f>
        <v>0</v>
      </c>
      <c r="G45" s="56">
        <f ca="1">IFERROR(+IF(C45="No Responsable", 0,+IF(D45="Tributación Simple", 0,+IF(AND(C45="Bimestral",MONTH(TODAY())-1&lt;=2),VLOOKUP(RIGHT(A45,1),'Tabla Vencimiento'!$A$3:$C$12,3,0),IF(AND(C45="Bimestral",MONTH(TODAY())-1&lt;=4),VLOOKUP(RIGHT(A45,1),'Tabla Vencimiento'!$A$3:$E$12,5,0),IF(AND(C45="Bimestral",MONTH(TODAY())-1&lt;=6),VLOOKUP(RIGHT(A45,1),'Tabla Vencimiento'!$A$3:$G$12,7,0),IF(AND(C45="Bimestral",MONTH(TODAY())-1&lt;=8),VLOOKUP(RIGHT(A45,1),'Tabla Vencimiento'!$A$3:$I$12,9,0),IF(AND(C45="Bimestral",MONTH(TODAY())-1=10),VLOOKUP(RIGHT(A45,1),'Tabla Vencimiento'!$A$3:$K$12,11,0),IF(AND(C45="Bimestral",MONTH(TODAY())-1&lt;=12),VLOOKUP(RIGHT(A45,1),'Tabla Vencimiento'!$A$3:$M$12,13,0),IF(AND(C45="Cuatrimestral",MONTH(TODAY())-1&lt;=4),VLOOKUP(RIGHT(A45,1),'Tabla Vencimiento'!$A$3:$E$12,5,0),IF(AND(C45="Cuatrimestral",MONTH(TODAY())-1&lt;=8),VLOOKUP(RIGHT(A45,1),'Tabla Vencimiento'!$A$3:$I$12,9,0),IF(AND(C45="Cuatrimestral",MONTH(TODAY())-1&lt;=12),VLOOKUP(RIGHT(A45,1),'Tabla Vencimiento'!$A$3:$M$12,13,0),0))))))))))),0)</f>
        <v>0</v>
      </c>
      <c r="H45" s="57">
        <f ca="1">+IF(AND(D45="Tributación Simple",MONTH(TODAY())=2),VLOOKUP(RIGHT(A45,1),'Tabla Vencimiento'!$I$17:$J$26,2,0),0)</f>
        <v>0</v>
      </c>
      <c r="I45" s="56">
        <f ca="1">+IF(AND(D45="Tributación Simple",MONTH(TODAY())=2),VLOOKUP(RIGHT(A45,1),'Tabla Vencimiento'!$A$39:$G$48,2,0),+IF(AND(D45="Tributación Simple",MONTH(TODAY())=4),VLOOKUP(RIGHT(A45,1),'Tabla Vencimiento'!$A$39:$G$48,3,0),+IF(AND(D45="Tributación Simple",MONTH(TODAY())=6),VLOOKUP(RIGHT(A45,1),'Tabla Vencimiento'!$A$39:$G$48,4,0),+IF(AND(D45="Tributación Simple",MONTH(TODAY())=8),VLOOKUP(RIGHT(A45,1),'Tabla Vencimiento'!$A$39:$G$48,5,0),+IF(AND(D45="Tributación Simple",MONTH(TODAY())=10),VLOOKUP(RIGHT(A45,1),'Tabla Vencimiento'!$A$39:$G$48,6,0),+IF(AND(D45="Tributación Simple",MONTH(TODAY())=12),VLOOKUP(RIGHT(A45,1),'Tabla Vencimiento'!$A$39:$G$48,7,0),0))))))</f>
        <v>0</v>
      </c>
      <c r="J45" s="56">
        <f>+IF(AND(D45="Ordinario",E45="PN"),VLOOKUP(RIGHT(A45,2),'Tabla Vencimiento'!$I$40:$J$139,2,0),+IF(AND(D45="Ordinario",E45="PN"),VLOOKUP(RIGHT(A45,2),'Tabla Vencimiento'!$J$40:$J$139,2,0),+IF(AND(D45="Tributación Simple",E45="PN"),0,+IF(AND(D45="Tributación Simple",E45="PJ"),0,+IF(AND(RIGHT(A45,2)&gt;='Tabla Vencimiento'!$A$16,RIGHT(A45,2)&lt;='Tabla Vencimiento'!$B$16),'Tabla Vencimiento'!$C$16,IF(AND(RIGHT(A45,2)&gt;='Tabla Vencimiento'!$A$17,RIGHT(A45,2)&lt;='Tabla Vencimiento'!$B$17),'Tabla Vencimiento'!$C$17,IF(AND(RIGHT(A45,2)&gt;='Tabla Vencimiento'!$A$18,RIGHT(A45,2)&lt;='Tabla Vencimiento'!$B$18),'Tabla Vencimiento'!$C$18,IF(AND(RIGHT(A45,2)&gt;='Tabla Vencimiento'!$A$19,RIGHT(A45,2)&lt;='Tabla Vencimiento'!$B$19),'Tabla Vencimiento'!$C$19,IF(AND(RIGHT(A45,2)&gt;='Tabla Vencimiento'!$A$20,RIGHT(A45,2)&lt;='Tabla Vencimiento'!$B$20),'Tabla Vencimiento'!$C$20,IF(AND(RIGHT(A45,2)&gt;='Tabla Vencimiento'!$A$21,RIGHT(A45,2)&lt;='Tabla Vencimiento'!$B$21),'Tabla Vencimiento'!$C$21,IF(AND(RIGHT(A45,2)&gt;='Tabla Vencimiento'!$A$22,RIGHT(A45,2)&lt;='Tabla Vencimiento'!$B$22),'Tabla Vencimiento'!$C$22,IF(AND(RIGHT(A45,2)&gt;='Tabla Vencimiento'!$A$23,RIGHT(A45,2)&lt;='Tabla Vencimiento'!$B$23),'Tabla Vencimiento'!$C$23,IF(AND(RIGHT(A45,2)&gt;='Tabla Vencimiento'!$A$24,RIGHT(A45,2)&lt;='Tabla Vencimiento'!$B$24),'Tabla Vencimiento'!$C$24,IF(AND(RIGHT(A45,2)&gt;='Tabla Vencimiento'!$A$25,RIGHT(A45,2)&lt;='Tabla Vencimiento'!$B$25),'Tabla Vencimiento'!$C$25,IF(AND(RIGHT(A45,2)&gt;='Tabla Vencimiento'!$A$26,RIGHT(A45,2)&lt;='Tabla Vencimiento'!$B$26),'Tabla Vencimiento'!$C$26,IF(AND(RIGHT(A45,2)&gt;='Tabla Vencimiento'!$A$27,RIGHT(A45,2)&lt;='Tabla Vencimiento'!$B$27),'Tabla Vencimiento'!$C$27,IF(AND(RIGHT(A45,2)&gt;='Tabla Vencimiento'!$A$28,RIGHT(A45,2)&lt;='Tabla Vencimiento'!$B$28),'Tabla Vencimiento'!$C$28,IF(AND(RIGHT(A45,2)&gt;='Tabla Vencimiento'!$A$29,RIGHT(A45,2)&lt;='Tabla Vencimiento'!$B$29),'Tabla Vencimiento'!$C$29,IF(AND(RIGHT(A45,2)&gt;='Tabla Vencimiento'!$A$30,RIGHT(A45,2)&lt;='Tabla Vencimiento'!$B$30),'Tabla Vencimiento'!$C$30,IF(AND(RIGHT(A45,2)&gt;='Tabla Vencimiento'!$A$31,RIGHT(A45,2)&lt;='Tabla Vencimiento'!$B$31),'Tabla Vencimiento'!$C$31,IF(AND(RIGHT(A45,2)&gt;='Tabla Vencimiento'!$A$32,RIGHT(A45,2)&lt;='Tabla Vencimiento'!$B$32),'Tabla Vencimiento'!$C$32,IF(AND(RIGHT(A45,2)&gt;='Tabla Vencimiento'!$A$33,RIGHT(A45,2)&lt;='Tabla Vencimiento'!$B$33),'Tabla Vencimiento'!$C$33,IF(AND(RIGHT(A45,2)&gt;='Tabla Vencimiento'!$A$34,RIGHT(A45,2)&lt;='Tabla Vencimiento'!$B$34),'Tabla Vencimiento'!$C$34,IF(AND(RIGHT(A45,2)&gt;='Tabla Vencimiento'!$A$35),'Tabla Vencimiento'!$C$35,0))))))))))))))))))))))))</f>
        <v>0</v>
      </c>
      <c r="K45" s="56">
        <f>+IF((D45="Tributación Simple"),VLOOKUP(RIGHT(A45,1),'Tabla Vencimiento'!$F$17:$G$26,2,0),0)</f>
        <v>0</v>
      </c>
      <c r="L45" s="56">
        <f>+IF(AND(RIGHT(A45,2) &gt;='Tabla Vencimiento'!$A$16,RIGHT(A45,2) &lt;='Tabla Vencimiento'!$B$16),'Tabla Vencimiento'!$D$16,IF(AND(RIGHT(A45,2) &gt;='Tabla Vencimiento'!$A$17,RIGHT(A45,2) &lt;='Tabla Vencimiento'!$B$17),'Tabla Vencimiento'!$D$17,IF(AND(RIGHT(A45,2) &gt;='Tabla Vencimiento'!$A$18,RIGHT(A45,2) &lt;='Tabla Vencimiento'!$B$18),'Tabla Vencimiento'!$D$18,IF(AND(RIGHT(A45,2) &gt;='Tabla Vencimiento'!$A$19,RIGHT(A45,2) &lt;='Tabla Vencimiento'!$B$19),'Tabla Vencimiento'!$D$19,IF(AND(RIGHT(A45,2) &gt;='Tabla Vencimiento'!$A$20,RIGHT(A45,2) &lt;='Tabla Vencimiento'!$B$20),'Tabla Vencimiento'!$D$20,IF(AND(RIGHT(A45,2) &gt;='Tabla Vencimiento'!$A$21,RIGHT(A45,2) &lt;='Tabla Vencimiento'!$B$21),'Tabla Vencimiento'!$D$21,IF(AND(RIGHT(A45,2) &gt;='Tabla Vencimiento'!$A$22,RIGHT(A45,2) &lt;='Tabla Vencimiento'!$B$22),'Tabla Vencimiento'!$D$22,IF(AND(RIGHT(A45,2) &gt;='Tabla Vencimiento'!$A$23,RIGHT(A45,2) &lt;='Tabla Vencimiento'!$B$23),'Tabla Vencimiento'!$D$23,IF(AND(RIGHT(A45,2) &gt;='Tabla Vencimiento'!$A$24,RIGHT(A45,2) &lt;='Tabla Vencimiento'!$B$24),'Tabla Vencimiento'!$D$24,IF(AND(RIGHT(A45,2) &gt;='Tabla Vencimiento'!$A$25,RIGHT(A45,2) &lt;='Tabla Vencimiento'!$B$25),'Tabla Vencimiento'!$D$25,IF(AND(RIGHT(A45,2) &gt;='Tabla Vencimiento'!$A$26,RIGHT(A45,2) &lt;='Tabla Vencimiento'!$B$26),'Tabla Vencimiento'!$D$26,IF(AND(RIGHT(A45,2) &gt;='Tabla Vencimiento'!$A$27,RIGHT(A45,2) &lt;='Tabla Vencimiento'!$B$27),'Tabla Vencimiento'!$D$27,IF(AND(RIGHT(A45,2) &gt;='Tabla Vencimiento'!$A$28,RIGHT(A45,2) &lt;='Tabla Vencimiento'!$B$28),'Tabla Vencimiento'!$D$28,IF(AND(RIGHT(A45,2) &gt;='Tabla Vencimiento'!$A$29,RIGHT(A45,2) &lt;='Tabla Vencimiento'!$B$29),'Tabla Vencimiento'!$D$29,IF(AND(RIGHT(A45,2) &gt;='Tabla Vencimiento'!$A$30,RIGHT(A45,2) &lt;='Tabla Vencimiento'!$B$30),'Tabla Vencimiento'!$D$30,IF(AND(RIGHT(A45,2) &gt;='Tabla Vencimiento'!$A$31,RIGHT(A45,2) &lt;='Tabla Vencimiento'!$B$31),'Tabla Vencimiento'!$D$31,IF(AND(RIGHT(A45,2) &gt;='Tabla Vencimiento'!$A$32,RIGHT(A45,2) &lt;='Tabla Vencimiento'!$B$32),'Tabla Vencimiento'!$D$32,IF(AND(RIGHT(A45,2) &gt;='Tabla Vencimiento'!$A$33,RIGHT(A45,2) &lt;='Tabla Vencimiento'!$B$33),'Tabla Vencimiento'!$D$33,IF(AND(RIGHT(A45,2) &gt;='Tabla Vencimiento'!$A$34,RIGHT(A45,2) &lt;='Tabla Vencimiento'!$B$34),'Tabla Vencimiento'!$D$34,IF(AND(RIGHT(A45,2) &gt;='Tabla Vencimiento'!$A$35),'Tabla Vencimiento'!$D$35,0))))))))))))))))))))</f>
        <v>0</v>
      </c>
    </row>
    <row r="46" spans="1:12" x14ac:dyDescent="0.45">
      <c r="A46" s="52"/>
      <c r="B46" s="52"/>
      <c r="C46" s="52"/>
      <c r="D46" s="52"/>
      <c r="E46" s="52"/>
      <c r="F46" s="56" t="b">
        <f ca="1">IFERROR(+IF(MONTH(TODAY())=2,VLOOKUP(RIGHT(A46,1),'Tabla Vencimiento'!$A$3:$B$12,2,IF(MONTH(TODAY())=3,VLOOKUP(RIGHT(A46,1),'Tabla Vencimiento'!$A$3:$C$12,3),IF(MONTH(TODAY())=4,VLOOKUP(RIGHT(A46,1),'Tabla Vencimiento'!$A$3:$D$12,4),IF(MONTH(TODAY())=5,VLOOKUP(RIGHT(A46,1),'Tabla Vencimiento'!$A$3:$E$12,5,0),IF(MONTH(TODAY())=6,VLOOKUP(RIGHT(A46,1),'Tabla Vencimiento'!$A$3:$F$12,6),IF(MONTH(TODAY())=7,VLOOKUP(RIGHT(A46,1),'Tabla Vencimiento'!$A$3:$G$12,7),IF(MONTH(TODAY())=8,VLOOKUP(RIGHT(A46,1),'Tabla Vencimiento'!$A$3:$H$12,8),IF(MONTH(TODAY())=9,VLOOKUP(RIGHT(A46,1),'Tabla Vencimiento'!$A$3:$I$12,9),IF(MONTH(TODAY())=10,VLOOKUP(RIGHT(A46,1),'Tabla Vencimiento'!$A$3:$J$12,10),IF(MONTH(TODAY())=11,VLOOKUP(RIGHT(A46,1),'Tabla Vencimiento'!$A$3:$K$12,11),IF(MONTH(TODAY())=12,VLOOKUP(RIGHT(A46,1),'Tabla Vencimiento'!$A$3:$L$12,12),0)))))))))))),0)</f>
        <v>0</v>
      </c>
      <c r="G46" s="56">
        <f ca="1">IFERROR(+IF(C46="No Responsable", 0,+IF(D46="Tributación Simple", 0,+IF(AND(C46="Bimestral",MONTH(TODAY())-1&lt;=2),VLOOKUP(RIGHT(A46,1),'Tabla Vencimiento'!$A$3:$C$12,3,0),IF(AND(C46="Bimestral",MONTH(TODAY())-1&lt;=4),VLOOKUP(RIGHT(A46,1),'Tabla Vencimiento'!$A$3:$E$12,5,0),IF(AND(C46="Bimestral",MONTH(TODAY())-1&lt;=6),VLOOKUP(RIGHT(A46,1),'Tabla Vencimiento'!$A$3:$G$12,7,0),IF(AND(C46="Bimestral",MONTH(TODAY())-1&lt;=8),VLOOKUP(RIGHT(A46,1),'Tabla Vencimiento'!$A$3:$I$12,9,0),IF(AND(C46="Bimestral",MONTH(TODAY())-1=10),VLOOKUP(RIGHT(A46,1),'Tabla Vencimiento'!$A$3:$K$12,11,0),IF(AND(C46="Bimestral",MONTH(TODAY())-1&lt;=12),VLOOKUP(RIGHT(A46,1),'Tabla Vencimiento'!$A$3:$M$12,13,0),IF(AND(C46="Cuatrimestral",MONTH(TODAY())-1&lt;=4),VLOOKUP(RIGHT(A46,1),'Tabla Vencimiento'!$A$3:$E$12,5,0),IF(AND(C46="Cuatrimestral",MONTH(TODAY())-1&lt;=8),VLOOKUP(RIGHT(A46,1),'Tabla Vencimiento'!$A$3:$I$12,9,0),IF(AND(C46="Cuatrimestral",MONTH(TODAY())-1&lt;=12),VLOOKUP(RIGHT(A46,1),'Tabla Vencimiento'!$A$3:$M$12,13,0),0))))))))))),0)</f>
        <v>0</v>
      </c>
      <c r="H46" s="57">
        <f ca="1">+IF(AND(D46="Tributación Simple",MONTH(TODAY())=2),VLOOKUP(RIGHT(A46,1),'Tabla Vencimiento'!$I$17:$J$26,2,0),0)</f>
        <v>0</v>
      </c>
      <c r="I46" s="56">
        <f ca="1">+IF(AND(D46="Tributación Simple",MONTH(TODAY())=2),VLOOKUP(RIGHT(A46,1),'Tabla Vencimiento'!$A$39:$G$48,2,0),+IF(AND(D46="Tributación Simple",MONTH(TODAY())=4),VLOOKUP(RIGHT(A46,1),'Tabla Vencimiento'!$A$39:$G$48,3,0),+IF(AND(D46="Tributación Simple",MONTH(TODAY())=6),VLOOKUP(RIGHT(A46,1),'Tabla Vencimiento'!$A$39:$G$48,4,0),+IF(AND(D46="Tributación Simple",MONTH(TODAY())=8),VLOOKUP(RIGHT(A46,1),'Tabla Vencimiento'!$A$39:$G$48,5,0),+IF(AND(D46="Tributación Simple",MONTH(TODAY())=10),VLOOKUP(RIGHT(A46,1),'Tabla Vencimiento'!$A$39:$G$48,6,0),+IF(AND(D46="Tributación Simple",MONTH(TODAY())=12),VLOOKUP(RIGHT(A46,1),'Tabla Vencimiento'!$A$39:$G$48,7,0),0))))))</f>
        <v>0</v>
      </c>
      <c r="J46" s="56">
        <f>+IF(AND(D46="Ordinario",E46="PN"),VLOOKUP(RIGHT(A46,2),'Tabla Vencimiento'!$I$40:$J$139,2,0),+IF(AND(D46="Ordinario",E46="PN"),VLOOKUP(RIGHT(A46,2),'Tabla Vencimiento'!$J$40:$J$139,2,0),+IF(AND(D46="Tributación Simple",E46="PN"),0,+IF(AND(D46="Tributación Simple",E46="PJ"),0,+IF(AND(RIGHT(A46,2)&gt;='Tabla Vencimiento'!$A$16,RIGHT(A46,2)&lt;='Tabla Vencimiento'!$B$16),'Tabla Vencimiento'!$C$16,IF(AND(RIGHT(A46,2)&gt;='Tabla Vencimiento'!$A$17,RIGHT(A46,2)&lt;='Tabla Vencimiento'!$B$17),'Tabla Vencimiento'!$C$17,IF(AND(RIGHT(A46,2)&gt;='Tabla Vencimiento'!$A$18,RIGHT(A46,2)&lt;='Tabla Vencimiento'!$B$18),'Tabla Vencimiento'!$C$18,IF(AND(RIGHT(A46,2)&gt;='Tabla Vencimiento'!$A$19,RIGHT(A46,2)&lt;='Tabla Vencimiento'!$B$19),'Tabla Vencimiento'!$C$19,IF(AND(RIGHT(A46,2)&gt;='Tabla Vencimiento'!$A$20,RIGHT(A46,2)&lt;='Tabla Vencimiento'!$B$20),'Tabla Vencimiento'!$C$20,IF(AND(RIGHT(A46,2)&gt;='Tabla Vencimiento'!$A$21,RIGHT(A46,2)&lt;='Tabla Vencimiento'!$B$21),'Tabla Vencimiento'!$C$21,IF(AND(RIGHT(A46,2)&gt;='Tabla Vencimiento'!$A$22,RIGHT(A46,2)&lt;='Tabla Vencimiento'!$B$22),'Tabla Vencimiento'!$C$22,IF(AND(RIGHT(A46,2)&gt;='Tabla Vencimiento'!$A$23,RIGHT(A46,2)&lt;='Tabla Vencimiento'!$B$23),'Tabla Vencimiento'!$C$23,IF(AND(RIGHT(A46,2)&gt;='Tabla Vencimiento'!$A$24,RIGHT(A46,2)&lt;='Tabla Vencimiento'!$B$24),'Tabla Vencimiento'!$C$24,IF(AND(RIGHT(A46,2)&gt;='Tabla Vencimiento'!$A$25,RIGHT(A46,2)&lt;='Tabla Vencimiento'!$B$25),'Tabla Vencimiento'!$C$25,IF(AND(RIGHT(A46,2)&gt;='Tabla Vencimiento'!$A$26,RIGHT(A46,2)&lt;='Tabla Vencimiento'!$B$26),'Tabla Vencimiento'!$C$26,IF(AND(RIGHT(A46,2)&gt;='Tabla Vencimiento'!$A$27,RIGHT(A46,2)&lt;='Tabla Vencimiento'!$B$27),'Tabla Vencimiento'!$C$27,IF(AND(RIGHT(A46,2)&gt;='Tabla Vencimiento'!$A$28,RIGHT(A46,2)&lt;='Tabla Vencimiento'!$B$28),'Tabla Vencimiento'!$C$28,IF(AND(RIGHT(A46,2)&gt;='Tabla Vencimiento'!$A$29,RIGHT(A46,2)&lt;='Tabla Vencimiento'!$B$29),'Tabla Vencimiento'!$C$29,IF(AND(RIGHT(A46,2)&gt;='Tabla Vencimiento'!$A$30,RIGHT(A46,2)&lt;='Tabla Vencimiento'!$B$30),'Tabla Vencimiento'!$C$30,IF(AND(RIGHT(A46,2)&gt;='Tabla Vencimiento'!$A$31,RIGHT(A46,2)&lt;='Tabla Vencimiento'!$B$31),'Tabla Vencimiento'!$C$31,IF(AND(RIGHT(A46,2)&gt;='Tabla Vencimiento'!$A$32,RIGHT(A46,2)&lt;='Tabla Vencimiento'!$B$32),'Tabla Vencimiento'!$C$32,IF(AND(RIGHT(A46,2)&gt;='Tabla Vencimiento'!$A$33,RIGHT(A46,2)&lt;='Tabla Vencimiento'!$B$33),'Tabla Vencimiento'!$C$33,IF(AND(RIGHT(A46,2)&gt;='Tabla Vencimiento'!$A$34,RIGHT(A46,2)&lt;='Tabla Vencimiento'!$B$34),'Tabla Vencimiento'!$C$34,IF(AND(RIGHT(A46,2)&gt;='Tabla Vencimiento'!$A$35),'Tabla Vencimiento'!$C$35,0))))))))))))))))))))))))</f>
        <v>0</v>
      </c>
      <c r="K46" s="56">
        <f>+IF((D46="Tributación Simple"),VLOOKUP(RIGHT(A46,1),'Tabla Vencimiento'!$F$17:$G$26,2,0),0)</f>
        <v>0</v>
      </c>
      <c r="L46" s="56">
        <f>+IF(AND(RIGHT(A46,2) &gt;='Tabla Vencimiento'!$A$16,RIGHT(A46,2) &lt;='Tabla Vencimiento'!$B$16),'Tabla Vencimiento'!$D$16,IF(AND(RIGHT(A46,2) &gt;='Tabla Vencimiento'!$A$17,RIGHT(A46,2) &lt;='Tabla Vencimiento'!$B$17),'Tabla Vencimiento'!$D$17,IF(AND(RIGHT(A46,2) &gt;='Tabla Vencimiento'!$A$18,RIGHT(A46,2) &lt;='Tabla Vencimiento'!$B$18),'Tabla Vencimiento'!$D$18,IF(AND(RIGHT(A46,2) &gt;='Tabla Vencimiento'!$A$19,RIGHT(A46,2) &lt;='Tabla Vencimiento'!$B$19),'Tabla Vencimiento'!$D$19,IF(AND(RIGHT(A46,2) &gt;='Tabla Vencimiento'!$A$20,RIGHT(A46,2) &lt;='Tabla Vencimiento'!$B$20),'Tabla Vencimiento'!$D$20,IF(AND(RIGHT(A46,2) &gt;='Tabla Vencimiento'!$A$21,RIGHT(A46,2) &lt;='Tabla Vencimiento'!$B$21),'Tabla Vencimiento'!$D$21,IF(AND(RIGHT(A46,2) &gt;='Tabla Vencimiento'!$A$22,RIGHT(A46,2) &lt;='Tabla Vencimiento'!$B$22),'Tabla Vencimiento'!$D$22,IF(AND(RIGHT(A46,2) &gt;='Tabla Vencimiento'!$A$23,RIGHT(A46,2) &lt;='Tabla Vencimiento'!$B$23),'Tabla Vencimiento'!$D$23,IF(AND(RIGHT(A46,2) &gt;='Tabla Vencimiento'!$A$24,RIGHT(A46,2) &lt;='Tabla Vencimiento'!$B$24),'Tabla Vencimiento'!$D$24,IF(AND(RIGHT(A46,2) &gt;='Tabla Vencimiento'!$A$25,RIGHT(A46,2) &lt;='Tabla Vencimiento'!$B$25),'Tabla Vencimiento'!$D$25,IF(AND(RIGHT(A46,2) &gt;='Tabla Vencimiento'!$A$26,RIGHT(A46,2) &lt;='Tabla Vencimiento'!$B$26),'Tabla Vencimiento'!$D$26,IF(AND(RIGHT(A46,2) &gt;='Tabla Vencimiento'!$A$27,RIGHT(A46,2) &lt;='Tabla Vencimiento'!$B$27),'Tabla Vencimiento'!$D$27,IF(AND(RIGHT(A46,2) &gt;='Tabla Vencimiento'!$A$28,RIGHT(A46,2) &lt;='Tabla Vencimiento'!$B$28),'Tabla Vencimiento'!$D$28,IF(AND(RIGHT(A46,2) &gt;='Tabla Vencimiento'!$A$29,RIGHT(A46,2) &lt;='Tabla Vencimiento'!$B$29),'Tabla Vencimiento'!$D$29,IF(AND(RIGHT(A46,2) &gt;='Tabla Vencimiento'!$A$30,RIGHT(A46,2) &lt;='Tabla Vencimiento'!$B$30),'Tabla Vencimiento'!$D$30,IF(AND(RIGHT(A46,2) &gt;='Tabla Vencimiento'!$A$31,RIGHT(A46,2) &lt;='Tabla Vencimiento'!$B$31),'Tabla Vencimiento'!$D$31,IF(AND(RIGHT(A46,2) &gt;='Tabla Vencimiento'!$A$32,RIGHT(A46,2) &lt;='Tabla Vencimiento'!$B$32),'Tabla Vencimiento'!$D$32,IF(AND(RIGHT(A46,2) &gt;='Tabla Vencimiento'!$A$33,RIGHT(A46,2) &lt;='Tabla Vencimiento'!$B$33),'Tabla Vencimiento'!$D$33,IF(AND(RIGHT(A46,2) &gt;='Tabla Vencimiento'!$A$34,RIGHT(A46,2) &lt;='Tabla Vencimiento'!$B$34),'Tabla Vencimiento'!$D$34,IF(AND(RIGHT(A46,2) &gt;='Tabla Vencimiento'!$A$35),'Tabla Vencimiento'!$D$35,0))))))))))))))))))))</f>
        <v>0</v>
      </c>
    </row>
    <row r="47" spans="1:12" x14ac:dyDescent="0.45">
      <c r="A47" s="52"/>
      <c r="B47" s="52"/>
      <c r="C47" s="52"/>
      <c r="D47" s="52"/>
      <c r="E47" s="52"/>
      <c r="F47" s="56" t="b">
        <f ca="1">IFERROR(+IF(MONTH(TODAY())=2,VLOOKUP(RIGHT(A47,1),'Tabla Vencimiento'!$A$3:$B$12,2,IF(MONTH(TODAY())=3,VLOOKUP(RIGHT(A47,1),'Tabla Vencimiento'!$A$3:$C$12,3),IF(MONTH(TODAY())=4,VLOOKUP(RIGHT(A47,1),'Tabla Vencimiento'!$A$3:$D$12,4),IF(MONTH(TODAY())=5,VLOOKUP(RIGHT(A47,1),'Tabla Vencimiento'!$A$3:$E$12,5,0),IF(MONTH(TODAY())=6,VLOOKUP(RIGHT(A47,1),'Tabla Vencimiento'!$A$3:$F$12,6),IF(MONTH(TODAY())=7,VLOOKUP(RIGHT(A47,1),'Tabla Vencimiento'!$A$3:$G$12,7),IF(MONTH(TODAY())=8,VLOOKUP(RIGHT(A47,1),'Tabla Vencimiento'!$A$3:$H$12,8),IF(MONTH(TODAY())=9,VLOOKUP(RIGHT(A47,1),'Tabla Vencimiento'!$A$3:$I$12,9),IF(MONTH(TODAY())=10,VLOOKUP(RIGHT(A47,1),'Tabla Vencimiento'!$A$3:$J$12,10),IF(MONTH(TODAY())=11,VLOOKUP(RIGHT(A47,1),'Tabla Vencimiento'!$A$3:$K$12,11),IF(MONTH(TODAY())=12,VLOOKUP(RIGHT(A47,1),'Tabla Vencimiento'!$A$3:$L$12,12),0)))))))))))),0)</f>
        <v>0</v>
      </c>
      <c r="G47" s="56">
        <f ca="1">IFERROR(+IF(C47="No Responsable", 0,+IF(D47="Tributación Simple", 0,+IF(AND(C47="Bimestral",MONTH(TODAY())-1&lt;=2),VLOOKUP(RIGHT(A47,1),'Tabla Vencimiento'!$A$3:$C$12,3,0),IF(AND(C47="Bimestral",MONTH(TODAY())-1&lt;=4),VLOOKUP(RIGHT(A47,1),'Tabla Vencimiento'!$A$3:$E$12,5,0),IF(AND(C47="Bimestral",MONTH(TODAY())-1&lt;=6),VLOOKUP(RIGHT(A47,1),'Tabla Vencimiento'!$A$3:$G$12,7,0),IF(AND(C47="Bimestral",MONTH(TODAY())-1&lt;=8),VLOOKUP(RIGHT(A47,1),'Tabla Vencimiento'!$A$3:$I$12,9,0),IF(AND(C47="Bimestral",MONTH(TODAY())-1=10),VLOOKUP(RIGHT(A47,1),'Tabla Vencimiento'!$A$3:$K$12,11,0),IF(AND(C47="Bimestral",MONTH(TODAY())-1&lt;=12),VLOOKUP(RIGHT(A47,1),'Tabla Vencimiento'!$A$3:$M$12,13,0),IF(AND(C47="Cuatrimestral",MONTH(TODAY())-1&lt;=4),VLOOKUP(RIGHT(A47,1),'Tabla Vencimiento'!$A$3:$E$12,5,0),IF(AND(C47="Cuatrimestral",MONTH(TODAY())-1&lt;=8),VLOOKUP(RIGHT(A47,1),'Tabla Vencimiento'!$A$3:$I$12,9,0),IF(AND(C47="Cuatrimestral",MONTH(TODAY())-1&lt;=12),VLOOKUP(RIGHT(A47,1),'Tabla Vencimiento'!$A$3:$M$12,13,0),0))))))))))),0)</f>
        <v>0</v>
      </c>
      <c r="H47" s="57">
        <f ca="1">+IF(AND(D47="Tributación Simple",MONTH(TODAY())=2),VLOOKUP(RIGHT(A47,1),'Tabla Vencimiento'!$I$17:$J$26,2,0),0)</f>
        <v>0</v>
      </c>
      <c r="I47" s="56">
        <f ca="1">+IF(AND(D47="Tributación Simple",MONTH(TODAY())=2),VLOOKUP(RIGHT(A47,1),'Tabla Vencimiento'!$A$39:$G$48,2,0),+IF(AND(D47="Tributación Simple",MONTH(TODAY())=4),VLOOKUP(RIGHT(A47,1),'Tabla Vencimiento'!$A$39:$G$48,3,0),+IF(AND(D47="Tributación Simple",MONTH(TODAY())=6),VLOOKUP(RIGHT(A47,1),'Tabla Vencimiento'!$A$39:$G$48,4,0),+IF(AND(D47="Tributación Simple",MONTH(TODAY())=8),VLOOKUP(RIGHT(A47,1),'Tabla Vencimiento'!$A$39:$G$48,5,0),+IF(AND(D47="Tributación Simple",MONTH(TODAY())=10),VLOOKUP(RIGHT(A47,1),'Tabla Vencimiento'!$A$39:$G$48,6,0),+IF(AND(D47="Tributación Simple",MONTH(TODAY())=12),VLOOKUP(RIGHT(A47,1),'Tabla Vencimiento'!$A$39:$G$48,7,0),0))))))</f>
        <v>0</v>
      </c>
      <c r="J47" s="56">
        <f>+IF(AND(D47="Ordinario",E47="PN"),VLOOKUP(RIGHT(A47,2),'Tabla Vencimiento'!$I$40:$J$139,2,0),+IF(AND(D47="Ordinario",E47="PN"),VLOOKUP(RIGHT(A47,2),'Tabla Vencimiento'!$J$40:$J$139,2,0),+IF(AND(D47="Tributación Simple",E47="PN"),0,+IF(AND(D47="Tributación Simple",E47="PJ"),0,+IF(AND(RIGHT(A47,2)&gt;='Tabla Vencimiento'!$A$16,RIGHT(A47,2)&lt;='Tabla Vencimiento'!$B$16),'Tabla Vencimiento'!$C$16,IF(AND(RIGHT(A47,2)&gt;='Tabla Vencimiento'!$A$17,RIGHT(A47,2)&lt;='Tabla Vencimiento'!$B$17),'Tabla Vencimiento'!$C$17,IF(AND(RIGHT(A47,2)&gt;='Tabla Vencimiento'!$A$18,RIGHT(A47,2)&lt;='Tabla Vencimiento'!$B$18),'Tabla Vencimiento'!$C$18,IF(AND(RIGHT(A47,2)&gt;='Tabla Vencimiento'!$A$19,RIGHT(A47,2)&lt;='Tabla Vencimiento'!$B$19),'Tabla Vencimiento'!$C$19,IF(AND(RIGHT(A47,2)&gt;='Tabla Vencimiento'!$A$20,RIGHT(A47,2)&lt;='Tabla Vencimiento'!$B$20),'Tabla Vencimiento'!$C$20,IF(AND(RIGHT(A47,2)&gt;='Tabla Vencimiento'!$A$21,RIGHT(A47,2)&lt;='Tabla Vencimiento'!$B$21),'Tabla Vencimiento'!$C$21,IF(AND(RIGHT(A47,2)&gt;='Tabla Vencimiento'!$A$22,RIGHT(A47,2)&lt;='Tabla Vencimiento'!$B$22),'Tabla Vencimiento'!$C$22,IF(AND(RIGHT(A47,2)&gt;='Tabla Vencimiento'!$A$23,RIGHT(A47,2)&lt;='Tabla Vencimiento'!$B$23),'Tabla Vencimiento'!$C$23,IF(AND(RIGHT(A47,2)&gt;='Tabla Vencimiento'!$A$24,RIGHT(A47,2)&lt;='Tabla Vencimiento'!$B$24),'Tabla Vencimiento'!$C$24,IF(AND(RIGHT(A47,2)&gt;='Tabla Vencimiento'!$A$25,RIGHT(A47,2)&lt;='Tabla Vencimiento'!$B$25),'Tabla Vencimiento'!$C$25,IF(AND(RIGHT(A47,2)&gt;='Tabla Vencimiento'!$A$26,RIGHT(A47,2)&lt;='Tabla Vencimiento'!$B$26),'Tabla Vencimiento'!$C$26,IF(AND(RIGHT(A47,2)&gt;='Tabla Vencimiento'!$A$27,RIGHT(A47,2)&lt;='Tabla Vencimiento'!$B$27),'Tabla Vencimiento'!$C$27,IF(AND(RIGHT(A47,2)&gt;='Tabla Vencimiento'!$A$28,RIGHT(A47,2)&lt;='Tabla Vencimiento'!$B$28),'Tabla Vencimiento'!$C$28,IF(AND(RIGHT(A47,2)&gt;='Tabla Vencimiento'!$A$29,RIGHT(A47,2)&lt;='Tabla Vencimiento'!$B$29),'Tabla Vencimiento'!$C$29,IF(AND(RIGHT(A47,2)&gt;='Tabla Vencimiento'!$A$30,RIGHT(A47,2)&lt;='Tabla Vencimiento'!$B$30),'Tabla Vencimiento'!$C$30,IF(AND(RIGHT(A47,2)&gt;='Tabla Vencimiento'!$A$31,RIGHT(A47,2)&lt;='Tabla Vencimiento'!$B$31),'Tabla Vencimiento'!$C$31,IF(AND(RIGHT(A47,2)&gt;='Tabla Vencimiento'!$A$32,RIGHT(A47,2)&lt;='Tabla Vencimiento'!$B$32),'Tabla Vencimiento'!$C$32,IF(AND(RIGHT(A47,2)&gt;='Tabla Vencimiento'!$A$33,RIGHT(A47,2)&lt;='Tabla Vencimiento'!$B$33),'Tabla Vencimiento'!$C$33,IF(AND(RIGHT(A47,2)&gt;='Tabla Vencimiento'!$A$34,RIGHT(A47,2)&lt;='Tabla Vencimiento'!$B$34),'Tabla Vencimiento'!$C$34,IF(AND(RIGHT(A47,2)&gt;='Tabla Vencimiento'!$A$35),'Tabla Vencimiento'!$C$35,0))))))))))))))))))))))))</f>
        <v>0</v>
      </c>
      <c r="K47" s="56">
        <f>+IF((D47="Tributación Simple"),VLOOKUP(RIGHT(A47,1),'Tabla Vencimiento'!$F$17:$G$26,2,0),0)</f>
        <v>0</v>
      </c>
      <c r="L47" s="56">
        <f>+IF(AND(RIGHT(A47,2) &gt;='Tabla Vencimiento'!$A$16,RIGHT(A47,2) &lt;='Tabla Vencimiento'!$B$16),'Tabla Vencimiento'!$D$16,IF(AND(RIGHT(A47,2) &gt;='Tabla Vencimiento'!$A$17,RIGHT(A47,2) &lt;='Tabla Vencimiento'!$B$17),'Tabla Vencimiento'!$D$17,IF(AND(RIGHT(A47,2) &gt;='Tabla Vencimiento'!$A$18,RIGHT(A47,2) &lt;='Tabla Vencimiento'!$B$18),'Tabla Vencimiento'!$D$18,IF(AND(RIGHT(A47,2) &gt;='Tabla Vencimiento'!$A$19,RIGHT(A47,2) &lt;='Tabla Vencimiento'!$B$19),'Tabla Vencimiento'!$D$19,IF(AND(RIGHT(A47,2) &gt;='Tabla Vencimiento'!$A$20,RIGHT(A47,2) &lt;='Tabla Vencimiento'!$B$20),'Tabla Vencimiento'!$D$20,IF(AND(RIGHT(A47,2) &gt;='Tabla Vencimiento'!$A$21,RIGHT(A47,2) &lt;='Tabla Vencimiento'!$B$21),'Tabla Vencimiento'!$D$21,IF(AND(RIGHT(A47,2) &gt;='Tabla Vencimiento'!$A$22,RIGHT(A47,2) &lt;='Tabla Vencimiento'!$B$22),'Tabla Vencimiento'!$D$22,IF(AND(RIGHT(A47,2) &gt;='Tabla Vencimiento'!$A$23,RIGHT(A47,2) &lt;='Tabla Vencimiento'!$B$23),'Tabla Vencimiento'!$D$23,IF(AND(RIGHT(A47,2) &gt;='Tabla Vencimiento'!$A$24,RIGHT(A47,2) &lt;='Tabla Vencimiento'!$B$24),'Tabla Vencimiento'!$D$24,IF(AND(RIGHT(A47,2) &gt;='Tabla Vencimiento'!$A$25,RIGHT(A47,2) &lt;='Tabla Vencimiento'!$B$25),'Tabla Vencimiento'!$D$25,IF(AND(RIGHT(A47,2) &gt;='Tabla Vencimiento'!$A$26,RIGHT(A47,2) &lt;='Tabla Vencimiento'!$B$26),'Tabla Vencimiento'!$D$26,IF(AND(RIGHT(A47,2) &gt;='Tabla Vencimiento'!$A$27,RIGHT(A47,2) &lt;='Tabla Vencimiento'!$B$27),'Tabla Vencimiento'!$D$27,IF(AND(RIGHT(A47,2) &gt;='Tabla Vencimiento'!$A$28,RIGHT(A47,2) &lt;='Tabla Vencimiento'!$B$28),'Tabla Vencimiento'!$D$28,IF(AND(RIGHT(A47,2) &gt;='Tabla Vencimiento'!$A$29,RIGHT(A47,2) &lt;='Tabla Vencimiento'!$B$29),'Tabla Vencimiento'!$D$29,IF(AND(RIGHT(A47,2) &gt;='Tabla Vencimiento'!$A$30,RIGHT(A47,2) &lt;='Tabla Vencimiento'!$B$30),'Tabla Vencimiento'!$D$30,IF(AND(RIGHT(A47,2) &gt;='Tabla Vencimiento'!$A$31,RIGHT(A47,2) &lt;='Tabla Vencimiento'!$B$31),'Tabla Vencimiento'!$D$31,IF(AND(RIGHT(A47,2) &gt;='Tabla Vencimiento'!$A$32,RIGHT(A47,2) &lt;='Tabla Vencimiento'!$B$32),'Tabla Vencimiento'!$D$32,IF(AND(RIGHT(A47,2) &gt;='Tabla Vencimiento'!$A$33,RIGHT(A47,2) &lt;='Tabla Vencimiento'!$B$33),'Tabla Vencimiento'!$D$33,IF(AND(RIGHT(A47,2) &gt;='Tabla Vencimiento'!$A$34,RIGHT(A47,2) &lt;='Tabla Vencimiento'!$B$34),'Tabla Vencimiento'!$D$34,IF(AND(RIGHT(A47,2) &gt;='Tabla Vencimiento'!$A$35),'Tabla Vencimiento'!$D$35,0))))))))))))))))))))</f>
        <v>0</v>
      </c>
    </row>
    <row r="48" spans="1:12" x14ac:dyDescent="0.45">
      <c r="A48" s="52"/>
      <c r="B48" s="52"/>
      <c r="C48" s="52"/>
      <c r="D48" s="52"/>
      <c r="E48" s="52"/>
      <c r="F48" s="56" t="b">
        <f ca="1">IFERROR(+IF(MONTH(TODAY())=2,VLOOKUP(RIGHT(A48,1),'Tabla Vencimiento'!$A$3:$B$12,2,IF(MONTH(TODAY())=3,VLOOKUP(RIGHT(A48,1),'Tabla Vencimiento'!$A$3:$C$12,3),IF(MONTH(TODAY())=4,VLOOKUP(RIGHT(A48,1),'Tabla Vencimiento'!$A$3:$D$12,4),IF(MONTH(TODAY())=5,VLOOKUP(RIGHT(A48,1),'Tabla Vencimiento'!$A$3:$E$12,5,0),IF(MONTH(TODAY())=6,VLOOKUP(RIGHT(A48,1),'Tabla Vencimiento'!$A$3:$F$12,6),IF(MONTH(TODAY())=7,VLOOKUP(RIGHT(A48,1),'Tabla Vencimiento'!$A$3:$G$12,7),IF(MONTH(TODAY())=8,VLOOKUP(RIGHT(A48,1),'Tabla Vencimiento'!$A$3:$H$12,8),IF(MONTH(TODAY())=9,VLOOKUP(RIGHT(A48,1),'Tabla Vencimiento'!$A$3:$I$12,9),IF(MONTH(TODAY())=10,VLOOKUP(RIGHT(A48,1),'Tabla Vencimiento'!$A$3:$J$12,10),IF(MONTH(TODAY())=11,VLOOKUP(RIGHT(A48,1),'Tabla Vencimiento'!$A$3:$K$12,11),IF(MONTH(TODAY())=12,VLOOKUP(RIGHT(A48,1),'Tabla Vencimiento'!$A$3:$L$12,12),0)))))))))))),0)</f>
        <v>0</v>
      </c>
      <c r="G48" s="56">
        <f ca="1">IFERROR(+IF(C48="No Responsable", 0,+IF(D48="Tributación Simple", 0,+IF(AND(C48="Bimestral",MONTH(TODAY())-1&lt;=2),VLOOKUP(RIGHT(A48,1),'Tabla Vencimiento'!$A$3:$C$12,3,0),IF(AND(C48="Bimestral",MONTH(TODAY())-1&lt;=4),VLOOKUP(RIGHT(A48,1),'Tabla Vencimiento'!$A$3:$E$12,5,0),IF(AND(C48="Bimestral",MONTH(TODAY())-1&lt;=6),VLOOKUP(RIGHT(A48,1),'Tabla Vencimiento'!$A$3:$G$12,7,0),IF(AND(C48="Bimestral",MONTH(TODAY())-1&lt;=8),VLOOKUP(RIGHT(A48,1),'Tabla Vencimiento'!$A$3:$I$12,9,0),IF(AND(C48="Bimestral",MONTH(TODAY())-1=10),VLOOKUP(RIGHT(A48,1),'Tabla Vencimiento'!$A$3:$K$12,11,0),IF(AND(C48="Bimestral",MONTH(TODAY())-1&lt;=12),VLOOKUP(RIGHT(A48,1),'Tabla Vencimiento'!$A$3:$M$12,13,0),IF(AND(C48="Cuatrimestral",MONTH(TODAY())-1&lt;=4),VLOOKUP(RIGHT(A48,1),'Tabla Vencimiento'!$A$3:$E$12,5,0),IF(AND(C48="Cuatrimestral",MONTH(TODAY())-1&lt;=8),VLOOKUP(RIGHT(A48,1),'Tabla Vencimiento'!$A$3:$I$12,9,0),IF(AND(C48="Cuatrimestral",MONTH(TODAY())-1&lt;=12),VLOOKUP(RIGHT(A48,1),'Tabla Vencimiento'!$A$3:$M$12,13,0),0))))))))))),0)</f>
        <v>0</v>
      </c>
      <c r="H48" s="57">
        <f ca="1">+IF(AND(D48="Tributación Simple",MONTH(TODAY())=2),VLOOKUP(RIGHT(A48,1),'Tabla Vencimiento'!$I$17:$J$26,2,0),0)</f>
        <v>0</v>
      </c>
      <c r="I48" s="56">
        <f ca="1">+IF(AND(D48="Tributación Simple",MONTH(TODAY())=2),VLOOKUP(RIGHT(A48,1),'Tabla Vencimiento'!$A$39:$G$48,2,0),+IF(AND(D48="Tributación Simple",MONTH(TODAY())=4),VLOOKUP(RIGHT(A48,1),'Tabla Vencimiento'!$A$39:$G$48,3,0),+IF(AND(D48="Tributación Simple",MONTH(TODAY())=6),VLOOKUP(RIGHT(A48,1),'Tabla Vencimiento'!$A$39:$G$48,4,0),+IF(AND(D48="Tributación Simple",MONTH(TODAY())=8),VLOOKUP(RIGHT(A48,1),'Tabla Vencimiento'!$A$39:$G$48,5,0),+IF(AND(D48="Tributación Simple",MONTH(TODAY())=10),VLOOKUP(RIGHT(A48,1),'Tabla Vencimiento'!$A$39:$G$48,6,0),+IF(AND(D48="Tributación Simple",MONTH(TODAY())=12),VLOOKUP(RIGHT(A48,1),'Tabla Vencimiento'!$A$39:$G$48,7,0),0))))))</f>
        <v>0</v>
      </c>
      <c r="J48" s="56">
        <f>+IF(AND(D48="Ordinario",E48="PN"),VLOOKUP(RIGHT(A48,2),'Tabla Vencimiento'!$I$40:$J$139,2,0),+IF(AND(D48="Ordinario",E48="PN"),VLOOKUP(RIGHT(A48,2),'Tabla Vencimiento'!$J$40:$J$139,2,0),+IF(AND(D48="Tributación Simple",E48="PN"),0,+IF(AND(D48="Tributación Simple",E48="PJ"),0,+IF(AND(RIGHT(A48,2)&gt;='Tabla Vencimiento'!$A$16,RIGHT(A48,2)&lt;='Tabla Vencimiento'!$B$16),'Tabla Vencimiento'!$C$16,IF(AND(RIGHT(A48,2)&gt;='Tabla Vencimiento'!$A$17,RIGHT(A48,2)&lt;='Tabla Vencimiento'!$B$17),'Tabla Vencimiento'!$C$17,IF(AND(RIGHT(A48,2)&gt;='Tabla Vencimiento'!$A$18,RIGHT(A48,2)&lt;='Tabla Vencimiento'!$B$18),'Tabla Vencimiento'!$C$18,IF(AND(RIGHT(A48,2)&gt;='Tabla Vencimiento'!$A$19,RIGHT(A48,2)&lt;='Tabla Vencimiento'!$B$19),'Tabla Vencimiento'!$C$19,IF(AND(RIGHT(A48,2)&gt;='Tabla Vencimiento'!$A$20,RIGHT(A48,2)&lt;='Tabla Vencimiento'!$B$20),'Tabla Vencimiento'!$C$20,IF(AND(RIGHT(A48,2)&gt;='Tabla Vencimiento'!$A$21,RIGHT(A48,2)&lt;='Tabla Vencimiento'!$B$21),'Tabla Vencimiento'!$C$21,IF(AND(RIGHT(A48,2)&gt;='Tabla Vencimiento'!$A$22,RIGHT(A48,2)&lt;='Tabla Vencimiento'!$B$22),'Tabla Vencimiento'!$C$22,IF(AND(RIGHT(A48,2)&gt;='Tabla Vencimiento'!$A$23,RIGHT(A48,2)&lt;='Tabla Vencimiento'!$B$23),'Tabla Vencimiento'!$C$23,IF(AND(RIGHT(A48,2)&gt;='Tabla Vencimiento'!$A$24,RIGHT(A48,2)&lt;='Tabla Vencimiento'!$B$24),'Tabla Vencimiento'!$C$24,IF(AND(RIGHT(A48,2)&gt;='Tabla Vencimiento'!$A$25,RIGHT(A48,2)&lt;='Tabla Vencimiento'!$B$25),'Tabla Vencimiento'!$C$25,IF(AND(RIGHT(A48,2)&gt;='Tabla Vencimiento'!$A$26,RIGHT(A48,2)&lt;='Tabla Vencimiento'!$B$26),'Tabla Vencimiento'!$C$26,IF(AND(RIGHT(A48,2)&gt;='Tabla Vencimiento'!$A$27,RIGHT(A48,2)&lt;='Tabla Vencimiento'!$B$27),'Tabla Vencimiento'!$C$27,IF(AND(RIGHT(A48,2)&gt;='Tabla Vencimiento'!$A$28,RIGHT(A48,2)&lt;='Tabla Vencimiento'!$B$28),'Tabla Vencimiento'!$C$28,IF(AND(RIGHT(A48,2)&gt;='Tabla Vencimiento'!$A$29,RIGHT(A48,2)&lt;='Tabla Vencimiento'!$B$29),'Tabla Vencimiento'!$C$29,IF(AND(RIGHT(A48,2)&gt;='Tabla Vencimiento'!$A$30,RIGHT(A48,2)&lt;='Tabla Vencimiento'!$B$30),'Tabla Vencimiento'!$C$30,IF(AND(RIGHT(A48,2)&gt;='Tabla Vencimiento'!$A$31,RIGHT(A48,2)&lt;='Tabla Vencimiento'!$B$31),'Tabla Vencimiento'!$C$31,IF(AND(RIGHT(A48,2)&gt;='Tabla Vencimiento'!$A$32,RIGHT(A48,2)&lt;='Tabla Vencimiento'!$B$32),'Tabla Vencimiento'!$C$32,IF(AND(RIGHT(A48,2)&gt;='Tabla Vencimiento'!$A$33,RIGHT(A48,2)&lt;='Tabla Vencimiento'!$B$33),'Tabla Vencimiento'!$C$33,IF(AND(RIGHT(A48,2)&gt;='Tabla Vencimiento'!$A$34,RIGHT(A48,2)&lt;='Tabla Vencimiento'!$B$34),'Tabla Vencimiento'!$C$34,IF(AND(RIGHT(A48,2)&gt;='Tabla Vencimiento'!$A$35),'Tabla Vencimiento'!$C$35,0))))))))))))))))))))))))</f>
        <v>0</v>
      </c>
      <c r="K48" s="56">
        <f>+IF((D48="Tributación Simple"),VLOOKUP(RIGHT(A48,1),'Tabla Vencimiento'!$F$17:$G$26,2,0),0)</f>
        <v>0</v>
      </c>
      <c r="L48" s="56">
        <f>+IF(AND(RIGHT(A48,2) &gt;='Tabla Vencimiento'!$A$16,RIGHT(A48,2) &lt;='Tabla Vencimiento'!$B$16),'Tabla Vencimiento'!$D$16,IF(AND(RIGHT(A48,2) &gt;='Tabla Vencimiento'!$A$17,RIGHT(A48,2) &lt;='Tabla Vencimiento'!$B$17),'Tabla Vencimiento'!$D$17,IF(AND(RIGHT(A48,2) &gt;='Tabla Vencimiento'!$A$18,RIGHT(A48,2) &lt;='Tabla Vencimiento'!$B$18),'Tabla Vencimiento'!$D$18,IF(AND(RIGHT(A48,2) &gt;='Tabla Vencimiento'!$A$19,RIGHT(A48,2) &lt;='Tabla Vencimiento'!$B$19),'Tabla Vencimiento'!$D$19,IF(AND(RIGHT(A48,2) &gt;='Tabla Vencimiento'!$A$20,RIGHT(A48,2) &lt;='Tabla Vencimiento'!$B$20),'Tabla Vencimiento'!$D$20,IF(AND(RIGHT(A48,2) &gt;='Tabla Vencimiento'!$A$21,RIGHT(A48,2) &lt;='Tabla Vencimiento'!$B$21),'Tabla Vencimiento'!$D$21,IF(AND(RIGHT(A48,2) &gt;='Tabla Vencimiento'!$A$22,RIGHT(A48,2) &lt;='Tabla Vencimiento'!$B$22),'Tabla Vencimiento'!$D$22,IF(AND(RIGHT(A48,2) &gt;='Tabla Vencimiento'!$A$23,RIGHT(A48,2) &lt;='Tabla Vencimiento'!$B$23),'Tabla Vencimiento'!$D$23,IF(AND(RIGHT(A48,2) &gt;='Tabla Vencimiento'!$A$24,RIGHT(A48,2) &lt;='Tabla Vencimiento'!$B$24),'Tabla Vencimiento'!$D$24,IF(AND(RIGHT(A48,2) &gt;='Tabla Vencimiento'!$A$25,RIGHT(A48,2) &lt;='Tabla Vencimiento'!$B$25),'Tabla Vencimiento'!$D$25,IF(AND(RIGHT(A48,2) &gt;='Tabla Vencimiento'!$A$26,RIGHT(A48,2) &lt;='Tabla Vencimiento'!$B$26),'Tabla Vencimiento'!$D$26,IF(AND(RIGHT(A48,2) &gt;='Tabla Vencimiento'!$A$27,RIGHT(A48,2) &lt;='Tabla Vencimiento'!$B$27),'Tabla Vencimiento'!$D$27,IF(AND(RIGHT(A48,2) &gt;='Tabla Vencimiento'!$A$28,RIGHT(A48,2) &lt;='Tabla Vencimiento'!$B$28),'Tabla Vencimiento'!$D$28,IF(AND(RIGHT(A48,2) &gt;='Tabla Vencimiento'!$A$29,RIGHT(A48,2) &lt;='Tabla Vencimiento'!$B$29),'Tabla Vencimiento'!$D$29,IF(AND(RIGHT(A48,2) &gt;='Tabla Vencimiento'!$A$30,RIGHT(A48,2) &lt;='Tabla Vencimiento'!$B$30),'Tabla Vencimiento'!$D$30,IF(AND(RIGHT(A48,2) &gt;='Tabla Vencimiento'!$A$31,RIGHT(A48,2) &lt;='Tabla Vencimiento'!$B$31),'Tabla Vencimiento'!$D$31,IF(AND(RIGHT(A48,2) &gt;='Tabla Vencimiento'!$A$32,RIGHT(A48,2) &lt;='Tabla Vencimiento'!$B$32),'Tabla Vencimiento'!$D$32,IF(AND(RIGHT(A48,2) &gt;='Tabla Vencimiento'!$A$33,RIGHT(A48,2) &lt;='Tabla Vencimiento'!$B$33),'Tabla Vencimiento'!$D$33,IF(AND(RIGHT(A48,2) &gt;='Tabla Vencimiento'!$A$34,RIGHT(A48,2) &lt;='Tabla Vencimiento'!$B$34),'Tabla Vencimiento'!$D$34,IF(AND(RIGHT(A48,2) &gt;='Tabla Vencimiento'!$A$35),'Tabla Vencimiento'!$D$35,0))))))))))))))))))))</f>
        <v>0</v>
      </c>
    </row>
    <row r="49" spans="1:12" x14ac:dyDescent="0.45">
      <c r="A49" s="52"/>
      <c r="B49" s="52"/>
      <c r="C49" s="52"/>
      <c r="D49" s="52"/>
      <c r="E49" s="52"/>
      <c r="F49" s="56" t="b">
        <f ca="1">IFERROR(+IF(MONTH(TODAY())=2,VLOOKUP(RIGHT(A49,1),'Tabla Vencimiento'!$A$3:$B$12,2,IF(MONTH(TODAY())=3,VLOOKUP(RIGHT(A49,1),'Tabla Vencimiento'!$A$3:$C$12,3),IF(MONTH(TODAY())=4,VLOOKUP(RIGHT(A49,1),'Tabla Vencimiento'!$A$3:$D$12,4),IF(MONTH(TODAY())=5,VLOOKUP(RIGHT(A49,1),'Tabla Vencimiento'!$A$3:$E$12,5,0),IF(MONTH(TODAY())=6,VLOOKUP(RIGHT(A49,1),'Tabla Vencimiento'!$A$3:$F$12,6),IF(MONTH(TODAY())=7,VLOOKUP(RIGHT(A49,1),'Tabla Vencimiento'!$A$3:$G$12,7),IF(MONTH(TODAY())=8,VLOOKUP(RIGHT(A49,1),'Tabla Vencimiento'!$A$3:$H$12,8),IF(MONTH(TODAY())=9,VLOOKUP(RIGHT(A49,1),'Tabla Vencimiento'!$A$3:$I$12,9),IF(MONTH(TODAY())=10,VLOOKUP(RIGHT(A49,1),'Tabla Vencimiento'!$A$3:$J$12,10),IF(MONTH(TODAY())=11,VLOOKUP(RIGHT(A49,1),'Tabla Vencimiento'!$A$3:$K$12,11),IF(MONTH(TODAY())=12,VLOOKUP(RIGHT(A49,1),'Tabla Vencimiento'!$A$3:$L$12,12),0)))))))))))),0)</f>
        <v>0</v>
      </c>
      <c r="G49" s="56">
        <f ca="1">IFERROR(+IF(C49="No Responsable", 0,+IF(D49="Tributación Simple", 0,+IF(AND(C49="Bimestral",MONTH(TODAY())-1&lt;=2),VLOOKUP(RIGHT(A49,1),'Tabla Vencimiento'!$A$3:$C$12,3,0),IF(AND(C49="Bimestral",MONTH(TODAY())-1&lt;=4),VLOOKUP(RIGHT(A49,1),'Tabla Vencimiento'!$A$3:$E$12,5,0),IF(AND(C49="Bimestral",MONTH(TODAY())-1&lt;=6),VLOOKUP(RIGHT(A49,1),'Tabla Vencimiento'!$A$3:$G$12,7,0),IF(AND(C49="Bimestral",MONTH(TODAY())-1&lt;=8),VLOOKUP(RIGHT(A49,1),'Tabla Vencimiento'!$A$3:$I$12,9,0),IF(AND(C49="Bimestral",MONTH(TODAY())-1=10),VLOOKUP(RIGHT(A49,1),'Tabla Vencimiento'!$A$3:$K$12,11,0),IF(AND(C49="Bimestral",MONTH(TODAY())-1&lt;=12),VLOOKUP(RIGHT(A49,1),'Tabla Vencimiento'!$A$3:$M$12,13,0),IF(AND(C49="Cuatrimestral",MONTH(TODAY())-1&lt;=4),VLOOKUP(RIGHT(A49,1),'Tabla Vencimiento'!$A$3:$E$12,5,0),IF(AND(C49="Cuatrimestral",MONTH(TODAY())-1&lt;=8),VLOOKUP(RIGHT(A49,1),'Tabla Vencimiento'!$A$3:$I$12,9,0),IF(AND(C49="Cuatrimestral",MONTH(TODAY())-1&lt;=12),VLOOKUP(RIGHT(A49,1),'Tabla Vencimiento'!$A$3:$M$12,13,0),0))))))))))),0)</f>
        <v>0</v>
      </c>
      <c r="H49" s="57">
        <f ca="1">+IF(AND(D49="Tributación Simple",MONTH(TODAY())=2),VLOOKUP(RIGHT(A49,1),'Tabla Vencimiento'!$I$17:$J$26,2,0),0)</f>
        <v>0</v>
      </c>
      <c r="I49" s="56">
        <f ca="1">+IF(AND(D49="Tributación Simple",MONTH(TODAY())=2),VLOOKUP(RIGHT(A49,1),'Tabla Vencimiento'!$A$39:$G$48,2,0),+IF(AND(D49="Tributación Simple",MONTH(TODAY())=4),VLOOKUP(RIGHT(A49,1),'Tabla Vencimiento'!$A$39:$G$48,3,0),+IF(AND(D49="Tributación Simple",MONTH(TODAY())=6),VLOOKUP(RIGHT(A49,1),'Tabla Vencimiento'!$A$39:$G$48,4,0),+IF(AND(D49="Tributación Simple",MONTH(TODAY())=8),VLOOKUP(RIGHT(A49,1),'Tabla Vencimiento'!$A$39:$G$48,5,0),+IF(AND(D49="Tributación Simple",MONTH(TODAY())=10),VLOOKUP(RIGHT(A49,1),'Tabla Vencimiento'!$A$39:$G$48,6,0),+IF(AND(D49="Tributación Simple",MONTH(TODAY())=12),VLOOKUP(RIGHT(A49,1),'Tabla Vencimiento'!$A$39:$G$48,7,0),0))))))</f>
        <v>0</v>
      </c>
      <c r="J49" s="56">
        <f>+IF(AND(D49="Ordinario",E49="PN"),VLOOKUP(RIGHT(A49,2),'Tabla Vencimiento'!$I$40:$J$139,2,0),+IF(AND(D49="Ordinario",E49="PN"),VLOOKUP(RIGHT(A49,2),'Tabla Vencimiento'!$J$40:$J$139,2,0),+IF(AND(D49="Tributación Simple",E49="PN"),0,+IF(AND(D49="Tributación Simple",E49="PJ"),0,+IF(AND(RIGHT(A49,2)&gt;='Tabla Vencimiento'!$A$16,RIGHT(A49,2)&lt;='Tabla Vencimiento'!$B$16),'Tabla Vencimiento'!$C$16,IF(AND(RIGHT(A49,2)&gt;='Tabla Vencimiento'!$A$17,RIGHT(A49,2)&lt;='Tabla Vencimiento'!$B$17),'Tabla Vencimiento'!$C$17,IF(AND(RIGHT(A49,2)&gt;='Tabla Vencimiento'!$A$18,RIGHT(A49,2)&lt;='Tabla Vencimiento'!$B$18),'Tabla Vencimiento'!$C$18,IF(AND(RIGHT(A49,2)&gt;='Tabla Vencimiento'!$A$19,RIGHT(A49,2)&lt;='Tabla Vencimiento'!$B$19),'Tabla Vencimiento'!$C$19,IF(AND(RIGHT(A49,2)&gt;='Tabla Vencimiento'!$A$20,RIGHT(A49,2)&lt;='Tabla Vencimiento'!$B$20),'Tabla Vencimiento'!$C$20,IF(AND(RIGHT(A49,2)&gt;='Tabla Vencimiento'!$A$21,RIGHT(A49,2)&lt;='Tabla Vencimiento'!$B$21),'Tabla Vencimiento'!$C$21,IF(AND(RIGHT(A49,2)&gt;='Tabla Vencimiento'!$A$22,RIGHT(A49,2)&lt;='Tabla Vencimiento'!$B$22),'Tabla Vencimiento'!$C$22,IF(AND(RIGHT(A49,2)&gt;='Tabla Vencimiento'!$A$23,RIGHT(A49,2)&lt;='Tabla Vencimiento'!$B$23),'Tabla Vencimiento'!$C$23,IF(AND(RIGHT(A49,2)&gt;='Tabla Vencimiento'!$A$24,RIGHT(A49,2)&lt;='Tabla Vencimiento'!$B$24),'Tabla Vencimiento'!$C$24,IF(AND(RIGHT(A49,2)&gt;='Tabla Vencimiento'!$A$25,RIGHT(A49,2)&lt;='Tabla Vencimiento'!$B$25),'Tabla Vencimiento'!$C$25,IF(AND(RIGHT(A49,2)&gt;='Tabla Vencimiento'!$A$26,RIGHT(A49,2)&lt;='Tabla Vencimiento'!$B$26),'Tabla Vencimiento'!$C$26,IF(AND(RIGHT(A49,2)&gt;='Tabla Vencimiento'!$A$27,RIGHT(A49,2)&lt;='Tabla Vencimiento'!$B$27),'Tabla Vencimiento'!$C$27,IF(AND(RIGHT(A49,2)&gt;='Tabla Vencimiento'!$A$28,RIGHT(A49,2)&lt;='Tabla Vencimiento'!$B$28),'Tabla Vencimiento'!$C$28,IF(AND(RIGHT(A49,2)&gt;='Tabla Vencimiento'!$A$29,RIGHT(A49,2)&lt;='Tabla Vencimiento'!$B$29),'Tabla Vencimiento'!$C$29,IF(AND(RIGHT(A49,2)&gt;='Tabla Vencimiento'!$A$30,RIGHT(A49,2)&lt;='Tabla Vencimiento'!$B$30),'Tabla Vencimiento'!$C$30,IF(AND(RIGHT(A49,2)&gt;='Tabla Vencimiento'!$A$31,RIGHT(A49,2)&lt;='Tabla Vencimiento'!$B$31),'Tabla Vencimiento'!$C$31,IF(AND(RIGHT(A49,2)&gt;='Tabla Vencimiento'!$A$32,RIGHT(A49,2)&lt;='Tabla Vencimiento'!$B$32),'Tabla Vencimiento'!$C$32,IF(AND(RIGHT(A49,2)&gt;='Tabla Vencimiento'!$A$33,RIGHT(A49,2)&lt;='Tabla Vencimiento'!$B$33),'Tabla Vencimiento'!$C$33,IF(AND(RIGHT(A49,2)&gt;='Tabla Vencimiento'!$A$34,RIGHT(A49,2)&lt;='Tabla Vencimiento'!$B$34),'Tabla Vencimiento'!$C$34,IF(AND(RIGHT(A49,2)&gt;='Tabla Vencimiento'!$A$35),'Tabla Vencimiento'!$C$35,0))))))))))))))))))))))))</f>
        <v>0</v>
      </c>
      <c r="K49" s="56">
        <f>+IF((D49="Tributación Simple"),VLOOKUP(RIGHT(A49,1),'Tabla Vencimiento'!$F$17:$G$26,2,0),0)</f>
        <v>0</v>
      </c>
      <c r="L49" s="56">
        <f>+IF(AND(RIGHT(A49,2) &gt;='Tabla Vencimiento'!$A$16,RIGHT(A49,2) &lt;='Tabla Vencimiento'!$B$16),'Tabla Vencimiento'!$D$16,IF(AND(RIGHT(A49,2) &gt;='Tabla Vencimiento'!$A$17,RIGHT(A49,2) &lt;='Tabla Vencimiento'!$B$17),'Tabla Vencimiento'!$D$17,IF(AND(RIGHT(A49,2) &gt;='Tabla Vencimiento'!$A$18,RIGHT(A49,2) &lt;='Tabla Vencimiento'!$B$18),'Tabla Vencimiento'!$D$18,IF(AND(RIGHT(A49,2) &gt;='Tabla Vencimiento'!$A$19,RIGHT(A49,2) &lt;='Tabla Vencimiento'!$B$19),'Tabla Vencimiento'!$D$19,IF(AND(RIGHT(A49,2) &gt;='Tabla Vencimiento'!$A$20,RIGHT(A49,2) &lt;='Tabla Vencimiento'!$B$20),'Tabla Vencimiento'!$D$20,IF(AND(RIGHT(A49,2) &gt;='Tabla Vencimiento'!$A$21,RIGHT(A49,2) &lt;='Tabla Vencimiento'!$B$21),'Tabla Vencimiento'!$D$21,IF(AND(RIGHT(A49,2) &gt;='Tabla Vencimiento'!$A$22,RIGHT(A49,2) &lt;='Tabla Vencimiento'!$B$22),'Tabla Vencimiento'!$D$22,IF(AND(RIGHT(A49,2) &gt;='Tabla Vencimiento'!$A$23,RIGHT(A49,2) &lt;='Tabla Vencimiento'!$B$23),'Tabla Vencimiento'!$D$23,IF(AND(RIGHT(A49,2) &gt;='Tabla Vencimiento'!$A$24,RIGHT(A49,2) &lt;='Tabla Vencimiento'!$B$24),'Tabla Vencimiento'!$D$24,IF(AND(RIGHT(A49,2) &gt;='Tabla Vencimiento'!$A$25,RIGHT(A49,2) &lt;='Tabla Vencimiento'!$B$25),'Tabla Vencimiento'!$D$25,IF(AND(RIGHT(A49,2) &gt;='Tabla Vencimiento'!$A$26,RIGHT(A49,2) &lt;='Tabla Vencimiento'!$B$26),'Tabla Vencimiento'!$D$26,IF(AND(RIGHT(A49,2) &gt;='Tabla Vencimiento'!$A$27,RIGHT(A49,2) &lt;='Tabla Vencimiento'!$B$27),'Tabla Vencimiento'!$D$27,IF(AND(RIGHT(A49,2) &gt;='Tabla Vencimiento'!$A$28,RIGHT(A49,2) &lt;='Tabla Vencimiento'!$B$28),'Tabla Vencimiento'!$D$28,IF(AND(RIGHT(A49,2) &gt;='Tabla Vencimiento'!$A$29,RIGHT(A49,2) &lt;='Tabla Vencimiento'!$B$29),'Tabla Vencimiento'!$D$29,IF(AND(RIGHT(A49,2) &gt;='Tabla Vencimiento'!$A$30,RIGHT(A49,2) &lt;='Tabla Vencimiento'!$B$30),'Tabla Vencimiento'!$D$30,IF(AND(RIGHT(A49,2) &gt;='Tabla Vencimiento'!$A$31,RIGHT(A49,2) &lt;='Tabla Vencimiento'!$B$31),'Tabla Vencimiento'!$D$31,IF(AND(RIGHT(A49,2) &gt;='Tabla Vencimiento'!$A$32,RIGHT(A49,2) &lt;='Tabla Vencimiento'!$B$32),'Tabla Vencimiento'!$D$32,IF(AND(RIGHT(A49,2) &gt;='Tabla Vencimiento'!$A$33,RIGHT(A49,2) &lt;='Tabla Vencimiento'!$B$33),'Tabla Vencimiento'!$D$33,IF(AND(RIGHT(A49,2) &gt;='Tabla Vencimiento'!$A$34,RIGHT(A49,2) &lt;='Tabla Vencimiento'!$B$34),'Tabla Vencimiento'!$D$34,IF(AND(RIGHT(A49,2) &gt;='Tabla Vencimiento'!$A$35),'Tabla Vencimiento'!$D$35,0))))))))))))))))))))</f>
        <v>0</v>
      </c>
    </row>
    <row r="50" spans="1:12" x14ac:dyDescent="0.45">
      <c r="A50" s="52"/>
      <c r="B50" s="52"/>
      <c r="C50" s="52"/>
      <c r="D50" s="52"/>
      <c r="E50" s="52"/>
      <c r="F50" s="56" t="b">
        <f ca="1">IFERROR(+IF(MONTH(TODAY())=2,VLOOKUP(RIGHT(A50,1),'Tabla Vencimiento'!$A$3:$B$12,2,IF(MONTH(TODAY())=3,VLOOKUP(RIGHT(A50,1),'Tabla Vencimiento'!$A$3:$C$12,3),IF(MONTH(TODAY())=4,VLOOKUP(RIGHT(A50,1),'Tabla Vencimiento'!$A$3:$D$12,4),IF(MONTH(TODAY())=5,VLOOKUP(RIGHT(A50,1),'Tabla Vencimiento'!$A$3:$E$12,5,0),IF(MONTH(TODAY())=6,VLOOKUP(RIGHT(A50,1),'Tabla Vencimiento'!$A$3:$F$12,6),IF(MONTH(TODAY())=7,VLOOKUP(RIGHT(A50,1),'Tabla Vencimiento'!$A$3:$G$12,7),IF(MONTH(TODAY())=8,VLOOKUP(RIGHT(A50,1),'Tabla Vencimiento'!$A$3:$H$12,8),IF(MONTH(TODAY())=9,VLOOKUP(RIGHT(A50,1),'Tabla Vencimiento'!$A$3:$I$12,9),IF(MONTH(TODAY())=10,VLOOKUP(RIGHT(A50,1),'Tabla Vencimiento'!$A$3:$J$12,10),IF(MONTH(TODAY())=11,VLOOKUP(RIGHT(A50,1),'Tabla Vencimiento'!$A$3:$K$12,11),IF(MONTH(TODAY())=12,VLOOKUP(RIGHT(A50,1),'Tabla Vencimiento'!$A$3:$L$12,12),0)))))))))))),0)</f>
        <v>0</v>
      </c>
      <c r="G50" s="56">
        <f ca="1">IFERROR(+IF(C50="No Responsable", 0,+IF(D50="Tributación Simple", 0,+IF(AND(C50="Bimestral",MONTH(TODAY())-1&lt;=2),VLOOKUP(RIGHT(A50,1),'Tabla Vencimiento'!$A$3:$C$12,3,0),IF(AND(C50="Bimestral",MONTH(TODAY())-1&lt;=4),VLOOKUP(RIGHT(A50,1),'Tabla Vencimiento'!$A$3:$E$12,5,0),IF(AND(C50="Bimestral",MONTH(TODAY())-1&lt;=6),VLOOKUP(RIGHT(A50,1),'Tabla Vencimiento'!$A$3:$G$12,7,0),IF(AND(C50="Bimestral",MONTH(TODAY())-1&lt;=8),VLOOKUP(RIGHT(A50,1),'Tabla Vencimiento'!$A$3:$I$12,9,0),IF(AND(C50="Bimestral",MONTH(TODAY())-1=10),VLOOKUP(RIGHT(A50,1),'Tabla Vencimiento'!$A$3:$K$12,11,0),IF(AND(C50="Bimestral",MONTH(TODAY())-1&lt;=12),VLOOKUP(RIGHT(A50,1),'Tabla Vencimiento'!$A$3:$M$12,13,0),IF(AND(C50="Cuatrimestral",MONTH(TODAY())-1&lt;=4),VLOOKUP(RIGHT(A50,1),'Tabla Vencimiento'!$A$3:$E$12,5,0),IF(AND(C50="Cuatrimestral",MONTH(TODAY())-1&lt;=8),VLOOKUP(RIGHT(A50,1),'Tabla Vencimiento'!$A$3:$I$12,9,0),IF(AND(C50="Cuatrimestral",MONTH(TODAY())-1&lt;=12),VLOOKUP(RIGHT(A50,1),'Tabla Vencimiento'!$A$3:$M$12,13,0),0))))))))))),0)</f>
        <v>0</v>
      </c>
      <c r="H50" s="57">
        <f ca="1">+IF(AND(D50="Tributación Simple",MONTH(TODAY())=2),VLOOKUP(RIGHT(A50,1),'Tabla Vencimiento'!$I$17:$J$26,2,0),0)</f>
        <v>0</v>
      </c>
      <c r="I50" s="56">
        <f ca="1">+IF(AND(D50="Tributación Simple",MONTH(TODAY())=2),VLOOKUP(RIGHT(A50,1),'Tabla Vencimiento'!$A$39:$G$48,2,0),+IF(AND(D50="Tributación Simple",MONTH(TODAY())=4),VLOOKUP(RIGHT(A50,1),'Tabla Vencimiento'!$A$39:$G$48,3,0),+IF(AND(D50="Tributación Simple",MONTH(TODAY())=6),VLOOKUP(RIGHT(A50,1),'Tabla Vencimiento'!$A$39:$G$48,4,0),+IF(AND(D50="Tributación Simple",MONTH(TODAY())=8),VLOOKUP(RIGHT(A50,1),'Tabla Vencimiento'!$A$39:$G$48,5,0),+IF(AND(D50="Tributación Simple",MONTH(TODAY())=10),VLOOKUP(RIGHT(A50,1),'Tabla Vencimiento'!$A$39:$G$48,6,0),+IF(AND(D50="Tributación Simple",MONTH(TODAY())=12),VLOOKUP(RIGHT(A50,1),'Tabla Vencimiento'!$A$39:$G$48,7,0),0))))))</f>
        <v>0</v>
      </c>
      <c r="J50" s="56">
        <f>+IF(AND(D50="Ordinario",E50="PN"),VLOOKUP(RIGHT(A50,2),'Tabla Vencimiento'!$I$40:$J$139,2,0),+IF(AND(D50="Ordinario",E50="PN"),VLOOKUP(RIGHT(A50,2),'Tabla Vencimiento'!$J$40:$J$139,2,0),+IF(AND(D50="Tributación Simple",E50="PN"),0,+IF(AND(D50="Tributación Simple",E50="PJ"),0,+IF(AND(RIGHT(A50,2)&gt;='Tabla Vencimiento'!$A$16,RIGHT(A50,2)&lt;='Tabla Vencimiento'!$B$16),'Tabla Vencimiento'!$C$16,IF(AND(RIGHT(A50,2)&gt;='Tabla Vencimiento'!$A$17,RIGHT(A50,2)&lt;='Tabla Vencimiento'!$B$17),'Tabla Vencimiento'!$C$17,IF(AND(RIGHT(A50,2)&gt;='Tabla Vencimiento'!$A$18,RIGHT(A50,2)&lt;='Tabla Vencimiento'!$B$18),'Tabla Vencimiento'!$C$18,IF(AND(RIGHT(A50,2)&gt;='Tabla Vencimiento'!$A$19,RIGHT(A50,2)&lt;='Tabla Vencimiento'!$B$19),'Tabla Vencimiento'!$C$19,IF(AND(RIGHT(A50,2)&gt;='Tabla Vencimiento'!$A$20,RIGHT(A50,2)&lt;='Tabla Vencimiento'!$B$20),'Tabla Vencimiento'!$C$20,IF(AND(RIGHT(A50,2)&gt;='Tabla Vencimiento'!$A$21,RIGHT(A50,2)&lt;='Tabla Vencimiento'!$B$21),'Tabla Vencimiento'!$C$21,IF(AND(RIGHT(A50,2)&gt;='Tabla Vencimiento'!$A$22,RIGHT(A50,2)&lt;='Tabla Vencimiento'!$B$22),'Tabla Vencimiento'!$C$22,IF(AND(RIGHT(A50,2)&gt;='Tabla Vencimiento'!$A$23,RIGHT(A50,2)&lt;='Tabla Vencimiento'!$B$23),'Tabla Vencimiento'!$C$23,IF(AND(RIGHT(A50,2)&gt;='Tabla Vencimiento'!$A$24,RIGHT(A50,2)&lt;='Tabla Vencimiento'!$B$24),'Tabla Vencimiento'!$C$24,IF(AND(RIGHT(A50,2)&gt;='Tabla Vencimiento'!$A$25,RIGHT(A50,2)&lt;='Tabla Vencimiento'!$B$25),'Tabla Vencimiento'!$C$25,IF(AND(RIGHT(A50,2)&gt;='Tabla Vencimiento'!$A$26,RIGHT(A50,2)&lt;='Tabla Vencimiento'!$B$26),'Tabla Vencimiento'!$C$26,IF(AND(RIGHT(A50,2)&gt;='Tabla Vencimiento'!$A$27,RIGHT(A50,2)&lt;='Tabla Vencimiento'!$B$27),'Tabla Vencimiento'!$C$27,IF(AND(RIGHT(A50,2)&gt;='Tabla Vencimiento'!$A$28,RIGHT(A50,2)&lt;='Tabla Vencimiento'!$B$28),'Tabla Vencimiento'!$C$28,IF(AND(RIGHT(A50,2)&gt;='Tabla Vencimiento'!$A$29,RIGHT(A50,2)&lt;='Tabla Vencimiento'!$B$29),'Tabla Vencimiento'!$C$29,IF(AND(RIGHT(A50,2)&gt;='Tabla Vencimiento'!$A$30,RIGHT(A50,2)&lt;='Tabla Vencimiento'!$B$30),'Tabla Vencimiento'!$C$30,IF(AND(RIGHT(A50,2)&gt;='Tabla Vencimiento'!$A$31,RIGHT(A50,2)&lt;='Tabla Vencimiento'!$B$31),'Tabla Vencimiento'!$C$31,IF(AND(RIGHT(A50,2)&gt;='Tabla Vencimiento'!$A$32,RIGHT(A50,2)&lt;='Tabla Vencimiento'!$B$32),'Tabla Vencimiento'!$C$32,IF(AND(RIGHT(A50,2)&gt;='Tabla Vencimiento'!$A$33,RIGHT(A50,2)&lt;='Tabla Vencimiento'!$B$33),'Tabla Vencimiento'!$C$33,IF(AND(RIGHT(A50,2)&gt;='Tabla Vencimiento'!$A$34,RIGHT(A50,2)&lt;='Tabla Vencimiento'!$B$34),'Tabla Vencimiento'!$C$34,IF(AND(RIGHT(A50,2)&gt;='Tabla Vencimiento'!$A$35),'Tabla Vencimiento'!$C$35,0))))))))))))))))))))))))</f>
        <v>0</v>
      </c>
      <c r="K50" s="56">
        <f>+IF((D50="Tributación Simple"),VLOOKUP(RIGHT(A50,1),'Tabla Vencimiento'!$F$17:$G$26,2,0),0)</f>
        <v>0</v>
      </c>
      <c r="L50" s="56">
        <f>+IF(AND(RIGHT(A50,2) &gt;='Tabla Vencimiento'!$A$16,RIGHT(A50,2) &lt;='Tabla Vencimiento'!$B$16),'Tabla Vencimiento'!$D$16,IF(AND(RIGHT(A50,2) &gt;='Tabla Vencimiento'!$A$17,RIGHT(A50,2) &lt;='Tabla Vencimiento'!$B$17),'Tabla Vencimiento'!$D$17,IF(AND(RIGHT(A50,2) &gt;='Tabla Vencimiento'!$A$18,RIGHT(A50,2) &lt;='Tabla Vencimiento'!$B$18),'Tabla Vencimiento'!$D$18,IF(AND(RIGHT(A50,2) &gt;='Tabla Vencimiento'!$A$19,RIGHT(A50,2) &lt;='Tabla Vencimiento'!$B$19),'Tabla Vencimiento'!$D$19,IF(AND(RIGHT(A50,2) &gt;='Tabla Vencimiento'!$A$20,RIGHT(A50,2) &lt;='Tabla Vencimiento'!$B$20),'Tabla Vencimiento'!$D$20,IF(AND(RIGHT(A50,2) &gt;='Tabla Vencimiento'!$A$21,RIGHT(A50,2) &lt;='Tabla Vencimiento'!$B$21),'Tabla Vencimiento'!$D$21,IF(AND(RIGHT(A50,2) &gt;='Tabla Vencimiento'!$A$22,RIGHT(A50,2) &lt;='Tabla Vencimiento'!$B$22),'Tabla Vencimiento'!$D$22,IF(AND(RIGHT(A50,2) &gt;='Tabla Vencimiento'!$A$23,RIGHT(A50,2) &lt;='Tabla Vencimiento'!$B$23),'Tabla Vencimiento'!$D$23,IF(AND(RIGHT(A50,2) &gt;='Tabla Vencimiento'!$A$24,RIGHT(A50,2) &lt;='Tabla Vencimiento'!$B$24),'Tabla Vencimiento'!$D$24,IF(AND(RIGHT(A50,2) &gt;='Tabla Vencimiento'!$A$25,RIGHT(A50,2) &lt;='Tabla Vencimiento'!$B$25),'Tabla Vencimiento'!$D$25,IF(AND(RIGHT(A50,2) &gt;='Tabla Vencimiento'!$A$26,RIGHT(A50,2) &lt;='Tabla Vencimiento'!$B$26),'Tabla Vencimiento'!$D$26,IF(AND(RIGHT(A50,2) &gt;='Tabla Vencimiento'!$A$27,RIGHT(A50,2) &lt;='Tabla Vencimiento'!$B$27),'Tabla Vencimiento'!$D$27,IF(AND(RIGHT(A50,2) &gt;='Tabla Vencimiento'!$A$28,RIGHT(A50,2) &lt;='Tabla Vencimiento'!$B$28),'Tabla Vencimiento'!$D$28,IF(AND(RIGHT(A50,2) &gt;='Tabla Vencimiento'!$A$29,RIGHT(A50,2) &lt;='Tabla Vencimiento'!$B$29),'Tabla Vencimiento'!$D$29,IF(AND(RIGHT(A50,2) &gt;='Tabla Vencimiento'!$A$30,RIGHT(A50,2) &lt;='Tabla Vencimiento'!$B$30),'Tabla Vencimiento'!$D$30,IF(AND(RIGHT(A50,2) &gt;='Tabla Vencimiento'!$A$31,RIGHT(A50,2) &lt;='Tabla Vencimiento'!$B$31),'Tabla Vencimiento'!$D$31,IF(AND(RIGHT(A50,2) &gt;='Tabla Vencimiento'!$A$32,RIGHT(A50,2) &lt;='Tabla Vencimiento'!$B$32),'Tabla Vencimiento'!$D$32,IF(AND(RIGHT(A50,2) &gt;='Tabla Vencimiento'!$A$33,RIGHT(A50,2) &lt;='Tabla Vencimiento'!$B$33),'Tabla Vencimiento'!$D$33,IF(AND(RIGHT(A50,2) &gt;='Tabla Vencimiento'!$A$34,RIGHT(A50,2) &lt;='Tabla Vencimiento'!$B$34),'Tabla Vencimiento'!$D$34,IF(AND(RIGHT(A50,2) &gt;='Tabla Vencimiento'!$A$35),'Tabla Vencimiento'!$D$35,0))))))))))))))))))))</f>
        <v>0</v>
      </c>
    </row>
    <row r="51" spans="1:12" x14ac:dyDescent="0.45">
      <c r="A51" s="52"/>
      <c r="B51" s="52"/>
      <c r="C51" s="52"/>
      <c r="D51" s="52"/>
      <c r="E51" s="52"/>
      <c r="F51" s="56" t="b">
        <f ca="1">IFERROR(+IF(MONTH(TODAY())=2,VLOOKUP(RIGHT(A51,1),'Tabla Vencimiento'!$A$3:$B$12,2,IF(MONTH(TODAY())=3,VLOOKUP(RIGHT(A51,1),'Tabla Vencimiento'!$A$3:$C$12,3),IF(MONTH(TODAY())=4,VLOOKUP(RIGHT(A51,1),'Tabla Vencimiento'!$A$3:$D$12,4),IF(MONTH(TODAY())=5,VLOOKUP(RIGHT(A51,1),'Tabla Vencimiento'!$A$3:$E$12,5,0),IF(MONTH(TODAY())=6,VLOOKUP(RIGHT(A51,1),'Tabla Vencimiento'!$A$3:$F$12,6),IF(MONTH(TODAY())=7,VLOOKUP(RIGHT(A51,1),'Tabla Vencimiento'!$A$3:$G$12,7),IF(MONTH(TODAY())=8,VLOOKUP(RIGHT(A51,1),'Tabla Vencimiento'!$A$3:$H$12,8),IF(MONTH(TODAY())=9,VLOOKUP(RIGHT(A51,1),'Tabla Vencimiento'!$A$3:$I$12,9),IF(MONTH(TODAY())=10,VLOOKUP(RIGHT(A51,1),'Tabla Vencimiento'!$A$3:$J$12,10),IF(MONTH(TODAY())=11,VLOOKUP(RIGHT(A51,1),'Tabla Vencimiento'!$A$3:$K$12,11),IF(MONTH(TODAY())=12,VLOOKUP(RIGHT(A51,1),'Tabla Vencimiento'!$A$3:$L$12,12),0)))))))))))),0)</f>
        <v>0</v>
      </c>
      <c r="G51" s="56">
        <f ca="1">IFERROR(+IF(C51="No Responsable", 0,+IF(D51="Tributación Simple", 0,+IF(AND(C51="Bimestral",MONTH(TODAY())-1&lt;=2),VLOOKUP(RIGHT(A51,1),'Tabla Vencimiento'!$A$3:$C$12,3,0),IF(AND(C51="Bimestral",MONTH(TODAY())-1&lt;=4),VLOOKUP(RIGHT(A51,1),'Tabla Vencimiento'!$A$3:$E$12,5,0),IF(AND(C51="Bimestral",MONTH(TODAY())-1&lt;=6),VLOOKUP(RIGHT(A51,1),'Tabla Vencimiento'!$A$3:$G$12,7,0),IF(AND(C51="Bimestral",MONTH(TODAY())-1&lt;=8),VLOOKUP(RIGHT(A51,1),'Tabla Vencimiento'!$A$3:$I$12,9,0),IF(AND(C51="Bimestral",MONTH(TODAY())-1=10),VLOOKUP(RIGHT(A51,1),'Tabla Vencimiento'!$A$3:$K$12,11,0),IF(AND(C51="Bimestral",MONTH(TODAY())-1&lt;=12),VLOOKUP(RIGHT(A51,1),'Tabla Vencimiento'!$A$3:$M$12,13,0),IF(AND(C51="Cuatrimestral",MONTH(TODAY())-1&lt;=4),VLOOKUP(RIGHT(A51,1),'Tabla Vencimiento'!$A$3:$E$12,5,0),IF(AND(C51="Cuatrimestral",MONTH(TODAY())-1&lt;=8),VLOOKUP(RIGHT(A51,1),'Tabla Vencimiento'!$A$3:$I$12,9,0),IF(AND(C51="Cuatrimestral",MONTH(TODAY())-1&lt;=12),VLOOKUP(RIGHT(A51,1),'Tabla Vencimiento'!$A$3:$M$12,13,0),0))))))))))),0)</f>
        <v>0</v>
      </c>
      <c r="H51" s="57">
        <f ca="1">+IF(AND(D51="Tributación Simple",MONTH(TODAY())=2),VLOOKUP(RIGHT(A51,1),'Tabla Vencimiento'!$I$17:$J$26,2,0),0)</f>
        <v>0</v>
      </c>
      <c r="I51" s="56">
        <f ca="1">+IF(AND(D51="Tributación Simple",MONTH(TODAY())=2),VLOOKUP(RIGHT(A51,1),'Tabla Vencimiento'!$A$39:$G$48,2,0),+IF(AND(D51="Tributación Simple",MONTH(TODAY())=4),VLOOKUP(RIGHT(A51,1),'Tabla Vencimiento'!$A$39:$G$48,3,0),+IF(AND(D51="Tributación Simple",MONTH(TODAY())=6),VLOOKUP(RIGHT(A51,1),'Tabla Vencimiento'!$A$39:$G$48,4,0),+IF(AND(D51="Tributación Simple",MONTH(TODAY())=8),VLOOKUP(RIGHT(A51,1),'Tabla Vencimiento'!$A$39:$G$48,5,0),+IF(AND(D51="Tributación Simple",MONTH(TODAY())=10),VLOOKUP(RIGHT(A51,1),'Tabla Vencimiento'!$A$39:$G$48,6,0),+IF(AND(D51="Tributación Simple",MONTH(TODAY())=12),VLOOKUP(RIGHT(A51,1),'Tabla Vencimiento'!$A$39:$G$48,7,0),0))))))</f>
        <v>0</v>
      </c>
      <c r="J51" s="56">
        <f>+IF(AND(D51="Ordinario",E51="PN"),VLOOKUP(RIGHT(A51,2),'Tabla Vencimiento'!$I$40:$J$139,2,0),+IF(AND(D51="Ordinario",E51="PN"),VLOOKUP(RIGHT(A51,2),'Tabla Vencimiento'!$J$40:$J$139,2,0),+IF(AND(D51="Tributación Simple",E51="PN"),0,+IF(AND(D51="Tributación Simple",E51="PJ"),0,+IF(AND(RIGHT(A51,2)&gt;='Tabla Vencimiento'!$A$16,RIGHT(A51,2)&lt;='Tabla Vencimiento'!$B$16),'Tabla Vencimiento'!$C$16,IF(AND(RIGHT(A51,2)&gt;='Tabla Vencimiento'!$A$17,RIGHT(A51,2)&lt;='Tabla Vencimiento'!$B$17),'Tabla Vencimiento'!$C$17,IF(AND(RIGHT(A51,2)&gt;='Tabla Vencimiento'!$A$18,RIGHT(A51,2)&lt;='Tabla Vencimiento'!$B$18),'Tabla Vencimiento'!$C$18,IF(AND(RIGHT(A51,2)&gt;='Tabla Vencimiento'!$A$19,RIGHT(A51,2)&lt;='Tabla Vencimiento'!$B$19),'Tabla Vencimiento'!$C$19,IF(AND(RIGHT(A51,2)&gt;='Tabla Vencimiento'!$A$20,RIGHT(A51,2)&lt;='Tabla Vencimiento'!$B$20),'Tabla Vencimiento'!$C$20,IF(AND(RIGHT(A51,2)&gt;='Tabla Vencimiento'!$A$21,RIGHT(A51,2)&lt;='Tabla Vencimiento'!$B$21),'Tabla Vencimiento'!$C$21,IF(AND(RIGHT(A51,2)&gt;='Tabla Vencimiento'!$A$22,RIGHT(A51,2)&lt;='Tabla Vencimiento'!$B$22),'Tabla Vencimiento'!$C$22,IF(AND(RIGHT(A51,2)&gt;='Tabla Vencimiento'!$A$23,RIGHT(A51,2)&lt;='Tabla Vencimiento'!$B$23),'Tabla Vencimiento'!$C$23,IF(AND(RIGHT(A51,2)&gt;='Tabla Vencimiento'!$A$24,RIGHT(A51,2)&lt;='Tabla Vencimiento'!$B$24),'Tabla Vencimiento'!$C$24,IF(AND(RIGHT(A51,2)&gt;='Tabla Vencimiento'!$A$25,RIGHT(A51,2)&lt;='Tabla Vencimiento'!$B$25),'Tabla Vencimiento'!$C$25,IF(AND(RIGHT(A51,2)&gt;='Tabla Vencimiento'!$A$26,RIGHT(A51,2)&lt;='Tabla Vencimiento'!$B$26),'Tabla Vencimiento'!$C$26,IF(AND(RIGHT(A51,2)&gt;='Tabla Vencimiento'!$A$27,RIGHT(A51,2)&lt;='Tabla Vencimiento'!$B$27),'Tabla Vencimiento'!$C$27,IF(AND(RIGHT(A51,2)&gt;='Tabla Vencimiento'!$A$28,RIGHT(A51,2)&lt;='Tabla Vencimiento'!$B$28),'Tabla Vencimiento'!$C$28,IF(AND(RIGHT(A51,2)&gt;='Tabla Vencimiento'!$A$29,RIGHT(A51,2)&lt;='Tabla Vencimiento'!$B$29),'Tabla Vencimiento'!$C$29,IF(AND(RIGHT(A51,2)&gt;='Tabla Vencimiento'!$A$30,RIGHT(A51,2)&lt;='Tabla Vencimiento'!$B$30),'Tabla Vencimiento'!$C$30,IF(AND(RIGHT(A51,2)&gt;='Tabla Vencimiento'!$A$31,RIGHT(A51,2)&lt;='Tabla Vencimiento'!$B$31),'Tabla Vencimiento'!$C$31,IF(AND(RIGHT(A51,2)&gt;='Tabla Vencimiento'!$A$32,RIGHT(A51,2)&lt;='Tabla Vencimiento'!$B$32),'Tabla Vencimiento'!$C$32,IF(AND(RIGHT(A51,2)&gt;='Tabla Vencimiento'!$A$33,RIGHT(A51,2)&lt;='Tabla Vencimiento'!$B$33),'Tabla Vencimiento'!$C$33,IF(AND(RIGHT(A51,2)&gt;='Tabla Vencimiento'!$A$34,RIGHT(A51,2)&lt;='Tabla Vencimiento'!$B$34),'Tabla Vencimiento'!$C$34,IF(AND(RIGHT(A51,2)&gt;='Tabla Vencimiento'!$A$35),'Tabla Vencimiento'!$C$35,0))))))))))))))))))))))))</f>
        <v>0</v>
      </c>
      <c r="K51" s="56">
        <f>+IF((D51="Tributación Simple"),VLOOKUP(RIGHT(A51,1),'Tabla Vencimiento'!$F$17:$G$26,2,0),0)</f>
        <v>0</v>
      </c>
      <c r="L51" s="56">
        <f>+IF(AND(RIGHT(A51,2) &gt;='Tabla Vencimiento'!$A$16,RIGHT(A51,2) &lt;='Tabla Vencimiento'!$B$16),'Tabla Vencimiento'!$D$16,IF(AND(RIGHT(A51,2) &gt;='Tabla Vencimiento'!$A$17,RIGHT(A51,2) &lt;='Tabla Vencimiento'!$B$17),'Tabla Vencimiento'!$D$17,IF(AND(RIGHT(A51,2) &gt;='Tabla Vencimiento'!$A$18,RIGHT(A51,2) &lt;='Tabla Vencimiento'!$B$18),'Tabla Vencimiento'!$D$18,IF(AND(RIGHT(A51,2) &gt;='Tabla Vencimiento'!$A$19,RIGHT(A51,2) &lt;='Tabla Vencimiento'!$B$19),'Tabla Vencimiento'!$D$19,IF(AND(RIGHT(A51,2) &gt;='Tabla Vencimiento'!$A$20,RIGHT(A51,2) &lt;='Tabla Vencimiento'!$B$20),'Tabla Vencimiento'!$D$20,IF(AND(RIGHT(A51,2) &gt;='Tabla Vencimiento'!$A$21,RIGHT(A51,2) &lt;='Tabla Vencimiento'!$B$21),'Tabla Vencimiento'!$D$21,IF(AND(RIGHT(A51,2) &gt;='Tabla Vencimiento'!$A$22,RIGHT(A51,2) &lt;='Tabla Vencimiento'!$B$22),'Tabla Vencimiento'!$D$22,IF(AND(RIGHT(A51,2) &gt;='Tabla Vencimiento'!$A$23,RIGHT(A51,2) &lt;='Tabla Vencimiento'!$B$23),'Tabla Vencimiento'!$D$23,IF(AND(RIGHT(A51,2) &gt;='Tabla Vencimiento'!$A$24,RIGHT(A51,2) &lt;='Tabla Vencimiento'!$B$24),'Tabla Vencimiento'!$D$24,IF(AND(RIGHT(A51,2) &gt;='Tabla Vencimiento'!$A$25,RIGHT(A51,2) &lt;='Tabla Vencimiento'!$B$25),'Tabla Vencimiento'!$D$25,IF(AND(RIGHT(A51,2) &gt;='Tabla Vencimiento'!$A$26,RIGHT(A51,2) &lt;='Tabla Vencimiento'!$B$26),'Tabla Vencimiento'!$D$26,IF(AND(RIGHT(A51,2) &gt;='Tabla Vencimiento'!$A$27,RIGHT(A51,2) &lt;='Tabla Vencimiento'!$B$27),'Tabla Vencimiento'!$D$27,IF(AND(RIGHT(A51,2) &gt;='Tabla Vencimiento'!$A$28,RIGHT(A51,2) &lt;='Tabla Vencimiento'!$B$28),'Tabla Vencimiento'!$D$28,IF(AND(RIGHT(A51,2) &gt;='Tabla Vencimiento'!$A$29,RIGHT(A51,2) &lt;='Tabla Vencimiento'!$B$29),'Tabla Vencimiento'!$D$29,IF(AND(RIGHT(A51,2) &gt;='Tabla Vencimiento'!$A$30,RIGHT(A51,2) &lt;='Tabla Vencimiento'!$B$30),'Tabla Vencimiento'!$D$30,IF(AND(RIGHT(A51,2) &gt;='Tabla Vencimiento'!$A$31,RIGHT(A51,2) &lt;='Tabla Vencimiento'!$B$31),'Tabla Vencimiento'!$D$31,IF(AND(RIGHT(A51,2) &gt;='Tabla Vencimiento'!$A$32,RIGHT(A51,2) &lt;='Tabla Vencimiento'!$B$32),'Tabla Vencimiento'!$D$32,IF(AND(RIGHT(A51,2) &gt;='Tabla Vencimiento'!$A$33,RIGHT(A51,2) &lt;='Tabla Vencimiento'!$B$33),'Tabla Vencimiento'!$D$33,IF(AND(RIGHT(A51,2) &gt;='Tabla Vencimiento'!$A$34,RIGHT(A51,2) &lt;='Tabla Vencimiento'!$B$34),'Tabla Vencimiento'!$D$34,IF(AND(RIGHT(A51,2) &gt;='Tabla Vencimiento'!$A$35),'Tabla Vencimiento'!$D$35,0))))))))))))))))))))</f>
        <v>0</v>
      </c>
    </row>
    <row r="52" spans="1:12" x14ac:dyDescent="0.45">
      <c r="A52" s="52"/>
      <c r="B52" s="52"/>
      <c r="C52" s="52"/>
      <c r="D52" s="52"/>
      <c r="E52" s="52"/>
      <c r="F52" s="56" t="b">
        <f ca="1">IFERROR(+IF(MONTH(TODAY())=2,VLOOKUP(RIGHT(A52,1),'Tabla Vencimiento'!$A$3:$B$12,2,IF(MONTH(TODAY())=3,VLOOKUP(RIGHT(A52,1),'Tabla Vencimiento'!$A$3:$C$12,3),IF(MONTH(TODAY())=4,VLOOKUP(RIGHT(A52,1),'Tabla Vencimiento'!$A$3:$D$12,4),IF(MONTH(TODAY())=5,VLOOKUP(RIGHT(A52,1),'Tabla Vencimiento'!$A$3:$E$12,5,0),IF(MONTH(TODAY())=6,VLOOKUP(RIGHT(A52,1),'Tabla Vencimiento'!$A$3:$F$12,6),IF(MONTH(TODAY())=7,VLOOKUP(RIGHT(A52,1),'Tabla Vencimiento'!$A$3:$G$12,7),IF(MONTH(TODAY())=8,VLOOKUP(RIGHT(A52,1),'Tabla Vencimiento'!$A$3:$H$12,8),IF(MONTH(TODAY())=9,VLOOKUP(RIGHT(A52,1),'Tabla Vencimiento'!$A$3:$I$12,9),IF(MONTH(TODAY())=10,VLOOKUP(RIGHT(A52,1),'Tabla Vencimiento'!$A$3:$J$12,10),IF(MONTH(TODAY())=11,VLOOKUP(RIGHT(A52,1),'Tabla Vencimiento'!$A$3:$K$12,11),IF(MONTH(TODAY())=12,VLOOKUP(RIGHT(A52,1),'Tabla Vencimiento'!$A$3:$L$12,12),0)))))))))))),0)</f>
        <v>0</v>
      </c>
      <c r="G52" s="56">
        <f ca="1">IFERROR(+IF(C52="No Responsable", 0,+IF(D52="Tributación Simple", 0,+IF(AND(C52="Bimestral",MONTH(TODAY())-1&lt;=2),VLOOKUP(RIGHT(A52,1),'Tabla Vencimiento'!$A$3:$C$12,3,0),IF(AND(C52="Bimestral",MONTH(TODAY())-1&lt;=4),VLOOKUP(RIGHT(A52,1),'Tabla Vencimiento'!$A$3:$E$12,5,0),IF(AND(C52="Bimestral",MONTH(TODAY())-1&lt;=6),VLOOKUP(RIGHT(A52,1),'Tabla Vencimiento'!$A$3:$G$12,7,0),IF(AND(C52="Bimestral",MONTH(TODAY())-1&lt;=8),VLOOKUP(RIGHT(A52,1),'Tabla Vencimiento'!$A$3:$I$12,9,0),IF(AND(C52="Bimestral",MONTH(TODAY())-1=10),VLOOKUP(RIGHT(A52,1),'Tabla Vencimiento'!$A$3:$K$12,11,0),IF(AND(C52="Bimestral",MONTH(TODAY())-1&lt;=12),VLOOKUP(RIGHT(A52,1),'Tabla Vencimiento'!$A$3:$M$12,13,0),IF(AND(C52="Cuatrimestral",MONTH(TODAY())-1&lt;=4),VLOOKUP(RIGHT(A52,1),'Tabla Vencimiento'!$A$3:$E$12,5,0),IF(AND(C52="Cuatrimestral",MONTH(TODAY())-1&lt;=8),VLOOKUP(RIGHT(A52,1),'Tabla Vencimiento'!$A$3:$I$12,9,0),IF(AND(C52="Cuatrimestral",MONTH(TODAY())-1&lt;=12),VLOOKUP(RIGHT(A52,1),'Tabla Vencimiento'!$A$3:$M$12,13,0),0))))))))))),0)</f>
        <v>0</v>
      </c>
      <c r="H52" s="57">
        <f ca="1">+IF(AND(D52="Tributación Simple",MONTH(TODAY())=2),VLOOKUP(RIGHT(A52,1),'Tabla Vencimiento'!$I$17:$J$26,2,0),0)</f>
        <v>0</v>
      </c>
      <c r="I52" s="56">
        <f ca="1">+IF(AND(D52="Tributación Simple",MONTH(TODAY())=2),VLOOKUP(RIGHT(A52,1),'Tabla Vencimiento'!$A$39:$G$48,2,0),+IF(AND(D52="Tributación Simple",MONTH(TODAY())=4),VLOOKUP(RIGHT(A52,1),'Tabla Vencimiento'!$A$39:$G$48,3,0),+IF(AND(D52="Tributación Simple",MONTH(TODAY())=6),VLOOKUP(RIGHT(A52,1),'Tabla Vencimiento'!$A$39:$G$48,4,0),+IF(AND(D52="Tributación Simple",MONTH(TODAY())=8),VLOOKUP(RIGHT(A52,1),'Tabla Vencimiento'!$A$39:$G$48,5,0),+IF(AND(D52="Tributación Simple",MONTH(TODAY())=10),VLOOKUP(RIGHT(A52,1),'Tabla Vencimiento'!$A$39:$G$48,6,0),+IF(AND(D52="Tributación Simple",MONTH(TODAY())=12),VLOOKUP(RIGHT(A52,1),'Tabla Vencimiento'!$A$39:$G$48,7,0),0))))))</f>
        <v>0</v>
      </c>
      <c r="J52" s="56">
        <f>+IF(AND(D52="Ordinario",E52="PN"),VLOOKUP(RIGHT(A52,2),'Tabla Vencimiento'!$I$40:$J$139,2,0),+IF(AND(D52="Ordinario",E52="PN"),VLOOKUP(RIGHT(A52,2),'Tabla Vencimiento'!$J$40:$J$139,2,0),+IF(AND(D52="Tributación Simple",E52="PN"),0,+IF(AND(D52="Tributación Simple",E52="PJ"),0,+IF(AND(RIGHT(A52,2)&gt;='Tabla Vencimiento'!$A$16,RIGHT(A52,2)&lt;='Tabla Vencimiento'!$B$16),'Tabla Vencimiento'!$C$16,IF(AND(RIGHT(A52,2)&gt;='Tabla Vencimiento'!$A$17,RIGHT(A52,2)&lt;='Tabla Vencimiento'!$B$17),'Tabla Vencimiento'!$C$17,IF(AND(RIGHT(A52,2)&gt;='Tabla Vencimiento'!$A$18,RIGHT(A52,2)&lt;='Tabla Vencimiento'!$B$18),'Tabla Vencimiento'!$C$18,IF(AND(RIGHT(A52,2)&gt;='Tabla Vencimiento'!$A$19,RIGHT(A52,2)&lt;='Tabla Vencimiento'!$B$19),'Tabla Vencimiento'!$C$19,IF(AND(RIGHT(A52,2)&gt;='Tabla Vencimiento'!$A$20,RIGHT(A52,2)&lt;='Tabla Vencimiento'!$B$20),'Tabla Vencimiento'!$C$20,IF(AND(RIGHT(A52,2)&gt;='Tabla Vencimiento'!$A$21,RIGHT(A52,2)&lt;='Tabla Vencimiento'!$B$21),'Tabla Vencimiento'!$C$21,IF(AND(RIGHT(A52,2)&gt;='Tabla Vencimiento'!$A$22,RIGHT(A52,2)&lt;='Tabla Vencimiento'!$B$22),'Tabla Vencimiento'!$C$22,IF(AND(RIGHT(A52,2)&gt;='Tabla Vencimiento'!$A$23,RIGHT(A52,2)&lt;='Tabla Vencimiento'!$B$23),'Tabla Vencimiento'!$C$23,IF(AND(RIGHT(A52,2)&gt;='Tabla Vencimiento'!$A$24,RIGHT(A52,2)&lt;='Tabla Vencimiento'!$B$24),'Tabla Vencimiento'!$C$24,IF(AND(RIGHT(A52,2)&gt;='Tabla Vencimiento'!$A$25,RIGHT(A52,2)&lt;='Tabla Vencimiento'!$B$25),'Tabla Vencimiento'!$C$25,IF(AND(RIGHT(A52,2)&gt;='Tabla Vencimiento'!$A$26,RIGHT(A52,2)&lt;='Tabla Vencimiento'!$B$26),'Tabla Vencimiento'!$C$26,IF(AND(RIGHT(A52,2)&gt;='Tabla Vencimiento'!$A$27,RIGHT(A52,2)&lt;='Tabla Vencimiento'!$B$27),'Tabla Vencimiento'!$C$27,IF(AND(RIGHT(A52,2)&gt;='Tabla Vencimiento'!$A$28,RIGHT(A52,2)&lt;='Tabla Vencimiento'!$B$28),'Tabla Vencimiento'!$C$28,IF(AND(RIGHT(A52,2)&gt;='Tabla Vencimiento'!$A$29,RIGHT(A52,2)&lt;='Tabla Vencimiento'!$B$29),'Tabla Vencimiento'!$C$29,IF(AND(RIGHT(A52,2)&gt;='Tabla Vencimiento'!$A$30,RIGHT(A52,2)&lt;='Tabla Vencimiento'!$B$30),'Tabla Vencimiento'!$C$30,IF(AND(RIGHT(A52,2)&gt;='Tabla Vencimiento'!$A$31,RIGHT(A52,2)&lt;='Tabla Vencimiento'!$B$31),'Tabla Vencimiento'!$C$31,IF(AND(RIGHT(A52,2)&gt;='Tabla Vencimiento'!$A$32,RIGHT(A52,2)&lt;='Tabla Vencimiento'!$B$32),'Tabla Vencimiento'!$C$32,IF(AND(RIGHT(A52,2)&gt;='Tabla Vencimiento'!$A$33,RIGHT(A52,2)&lt;='Tabla Vencimiento'!$B$33),'Tabla Vencimiento'!$C$33,IF(AND(RIGHT(A52,2)&gt;='Tabla Vencimiento'!$A$34,RIGHT(A52,2)&lt;='Tabla Vencimiento'!$B$34),'Tabla Vencimiento'!$C$34,IF(AND(RIGHT(A52,2)&gt;='Tabla Vencimiento'!$A$35),'Tabla Vencimiento'!$C$35,0))))))))))))))))))))))))</f>
        <v>0</v>
      </c>
      <c r="K52" s="56">
        <f>+IF((D52="Tributación Simple"),VLOOKUP(RIGHT(A52,1),'Tabla Vencimiento'!$F$17:$G$26,2,0),0)</f>
        <v>0</v>
      </c>
      <c r="L52" s="56">
        <f>+IF(AND(RIGHT(A52,2) &gt;='Tabla Vencimiento'!$A$16,RIGHT(A52,2) &lt;='Tabla Vencimiento'!$B$16),'Tabla Vencimiento'!$D$16,IF(AND(RIGHT(A52,2) &gt;='Tabla Vencimiento'!$A$17,RIGHT(A52,2) &lt;='Tabla Vencimiento'!$B$17),'Tabla Vencimiento'!$D$17,IF(AND(RIGHT(A52,2) &gt;='Tabla Vencimiento'!$A$18,RIGHT(A52,2) &lt;='Tabla Vencimiento'!$B$18),'Tabla Vencimiento'!$D$18,IF(AND(RIGHT(A52,2) &gt;='Tabla Vencimiento'!$A$19,RIGHT(A52,2) &lt;='Tabla Vencimiento'!$B$19),'Tabla Vencimiento'!$D$19,IF(AND(RIGHT(A52,2) &gt;='Tabla Vencimiento'!$A$20,RIGHT(A52,2) &lt;='Tabla Vencimiento'!$B$20),'Tabla Vencimiento'!$D$20,IF(AND(RIGHT(A52,2) &gt;='Tabla Vencimiento'!$A$21,RIGHT(A52,2) &lt;='Tabla Vencimiento'!$B$21),'Tabla Vencimiento'!$D$21,IF(AND(RIGHT(A52,2) &gt;='Tabla Vencimiento'!$A$22,RIGHT(A52,2) &lt;='Tabla Vencimiento'!$B$22),'Tabla Vencimiento'!$D$22,IF(AND(RIGHT(A52,2) &gt;='Tabla Vencimiento'!$A$23,RIGHT(A52,2) &lt;='Tabla Vencimiento'!$B$23),'Tabla Vencimiento'!$D$23,IF(AND(RIGHT(A52,2) &gt;='Tabla Vencimiento'!$A$24,RIGHT(A52,2) &lt;='Tabla Vencimiento'!$B$24),'Tabla Vencimiento'!$D$24,IF(AND(RIGHT(A52,2) &gt;='Tabla Vencimiento'!$A$25,RIGHT(A52,2) &lt;='Tabla Vencimiento'!$B$25),'Tabla Vencimiento'!$D$25,IF(AND(RIGHT(A52,2) &gt;='Tabla Vencimiento'!$A$26,RIGHT(A52,2) &lt;='Tabla Vencimiento'!$B$26),'Tabla Vencimiento'!$D$26,IF(AND(RIGHT(A52,2) &gt;='Tabla Vencimiento'!$A$27,RIGHT(A52,2) &lt;='Tabla Vencimiento'!$B$27),'Tabla Vencimiento'!$D$27,IF(AND(RIGHT(A52,2) &gt;='Tabla Vencimiento'!$A$28,RIGHT(A52,2) &lt;='Tabla Vencimiento'!$B$28),'Tabla Vencimiento'!$D$28,IF(AND(RIGHT(A52,2) &gt;='Tabla Vencimiento'!$A$29,RIGHT(A52,2) &lt;='Tabla Vencimiento'!$B$29),'Tabla Vencimiento'!$D$29,IF(AND(RIGHT(A52,2) &gt;='Tabla Vencimiento'!$A$30,RIGHT(A52,2) &lt;='Tabla Vencimiento'!$B$30),'Tabla Vencimiento'!$D$30,IF(AND(RIGHT(A52,2) &gt;='Tabla Vencimiento'!$A$31,RIGHT(A52,2) &lt;='Tabla Vencimiento'!$B$31),'Tabla Vencimiento'!$D$31,IF(AND(RIGHT(A52,2) &gt;='Tabla Vencimiento'!$A$32,RIGHT(A52,2) &lt;='Tabla Vencimiento'!$B$32),'Tabla Vencimiento'!$D$32,IF(AND(RIGHT(A52,2) &gt;='Tabla Vencimiento'!$A$33,RIGHT(A52,2) &lt;='Tabla Vencimiento'!$B$33),'Tabla Vencimiento'!$D$33,IF(AND(RIGHT(A52,2) &gt;='Tabla Vencimiento'!$A$34,RIGHT(A52,2) &lt;='Tabla Vencimiento'!$B$34),'Tabla Vencimiento'!$D$34,IF(AND(RIGHT(A52,2) &gt;='Tabla Vencimiento'!$A$35),'Tabla Vencimiento'!$D$35,0))))))))))))))))))))</f>
        <v>0</v>
      </c>
    </row>
    <row r="53" spans="1:12" x14ac:dyDescent="0.45">
      <c r="A53" s="52"/>
      <c r="B53" s="52"/>
      <c r="C53" s="52"/>
      <c r="D53" s="52"/>
      <c r="E53" s="52"/>
      <c r="F53" s="56" t="b">
        <f ca="1">IFERROR(+IF(MONTH(TODAY())=2,VLOOKUP(RIGHT(A53,1),'Tabla Vencimiento'!$A$3:$B$12,2,IF(MONTH(TODAY())=3,VLOOKUP(RIGHT(A53,1),'Tabla Vencimiento'!$A$3:$C$12,3),IF(MONTH(TODAY())=4,VLOOKUP(RIGHT(A53,1),'Tabla Vencimiento'!$A$3:$D$12,4),IF(MONTH(TODAY())=5,VLOOKUP(RIGHT(A53,1),'Tabla Vencimiento'!$A$3:$E$12,5,0),IF(MONTH(TODAY())=6,VLOOKUP(RIGHT(A53,1),'Tabla Vencimiento'!$A$3:$F$12,6),IF(MONTH(TODAY())=7,VLOOKUP(RIGHT(A53,1),'Tabla Vencimiento'!$A$3:$G$12,7),IF(MONTH(TODAY())=8,VLOOKUP(RIGHT(A53,1),'Tabla Vencimiento'!$A$3:$H$12,8),IF(MONTH(TODAY())=9,VLOOKUP(RIGHT(A53,1),'Tabla Vencimiento'!$A$3:$I$12,9),IF(MONTH(TODAY())=10,VLOOKUP(RIGHT(A53,1),'Tabla Vencimiento'!$A$3:$J$12,10),IF(MONTH(TODAY())=11,VLOOKUP(RIGHT(A53,1),'Tabla Vencimiento'!$A$3:$K$12,11),IF(MONTH(TODAY())=12,VLOOKUP(RIGHT(A53,1),'Tabla Vencimiento'!$A$3:$L$12,12),0)))))))))))),0)</f>
        <v>0</v>
      </c>
      <c r="G53" s="56">
        <f ca="1">IFERROR(+IF(C53="No Responsable", 0,+IF(D53="Tributación Simple", 0,+IF(AND(C53="Bimestral",MONTH(TODAY())-1&lt;=2),VLOOKUP(RIGHT(A53,1),'Tabla Vencimiento'!$A$3:$C$12,3,0),IF(AND(C53="Bimestral",MONTH(TODAY())-1&lt;=4),VLOOKUP(RIGHT(A53,1),'Tabla Vencimiento'!$A$3:$E$12,5,0),IF(AND(C53="Bimestral",MONTH(TODAY())-1&lt;=6),VLOOKUP(RIGHT(A53,1),'Tabla Vencimiento'!$A$3:$G$12,7,0),IF(AND(C53="Bimestral",MONTH(TODAY())-1&lt;=8),VLOOKUP(RIGHT(A53,1),'Tabla Vencimiento'!$A$3:$I$12,9,0),IF(AND(C53="Bimestral",MONTH(TODAY())-1=10),VLOOKUP(RIGHT(A53,1),'Tabla Vencimiento'!$A$3:$K$12,11,0),IF(AND(C53="Bimestral",MONTH(TODAY())-1&lt;=12),VLOOKUP(RIGHT(A53,1),'Tabla Vencimiento'!$A$3:$M$12,13,0),IF(AND(C53="Cuatrimestral",MONTH(TODAY())-1&lt;=4),VLOOKUP(RIGHT(A53,1),'Tabla Vencimiento'!$A$3:$E$12,5,0),IF(AND(C53="Cuatrimestral",MONTH(TODAY())-1&lt;=8),VLOOKUP(RIGHT(A53,1),'Tabla Vencimiento'!$A$3:$I$12,9,0),IF(AND(C53="Cuatrimestral",MONTH(TODAY())-1&lt;=12),VLOOKUP(RIGHT(A53,1),'Tabla Vencimiento'!$A$3:$M$12,13,0),0))))))))))),0)</f>
        <v>0</v>
      </c>
      <c r="H53" s="57">
        <f ca="1">+IF(AND(D53="Tributación Simple",MONTH(TODAY())=2),VLOOKUP(RIGHT(A53,1),'Tabla Vencimiento'!$I$17:$J$26,2,0),0)</f>
        <v>0</v>
      </c>
      <c r="I53" s="56">
        <f ca="1">+IF(AND(D53="Tributación Simple",MONTH(TODAY())=2),VLOOKUP(RIGHT(A53,1),'Tabla Vencimiento'!$A$39:$G$48,2,0),+IF(AND(D53="Tributación Simple",MONTH(TODAY())=4),VLOOKUP(RIGHT(A53,1),'Tabla Vencimiento'!$A$39:$G$48,3,0),+IF(AND(D53="Tributación Simple",MONTH(TODAY())=6),VLOOKUP(RIGHT(A53,1),'Tabla Vencimiento'!$A$39:$G$48,4,0),+IF(AND(D53="Tributación Simple",MONTH(TODAY())=8),VLOOKUP(RIGHT(A53,1),'Tabla Vencimiento'!$A$39:$G$48,5,0),+IF(AND(D53="Tributación Simple",MONTH(TODAY())=10),VLOOKUP(RIGHT(A53,1),'Tabla Vencimiento'!$A$39:$G$48,6,0),+IF(AND(D53="Tributación Simple",MONTH(TODAY())=12),VLOOKUP(RIGHT(A53,1),'Tabla Vencimiento'!$A$39:$G$48,7,0),0))))))</f>
        <v>0</v>
      </c>
      <c r="J53" s="56">
        <f>+IF(AND(D53="Ordinario",E53="PN"),VLOOKUP(RIGHT(A53,2),'Tabla Vencimiento'!$I$40:$J$139,2,0),+IF(AND(D53="Ordinario",E53="PN"),VLOOKUP(RIGHT(A53,2),'Tabla Vencimiento'!$J$40:$J$139,2,0),+IF(AND(D53="Tributación Simple",E53="PN"),0,+IF(AND(D53="Tributación Simple",E53="PJ"),0,+IF(AND(RIGHT(A53,2)&gt;='Tabla Vencimiento'!$A$16,RIGHT(A53,2)&lt;='Tabla Vencimiento'!$B$16),'Tabla Vencimiento'!$C$16,IF(AND(RIGHT(A53,2)&gt;='Tabla Vencimiento'!$A$17,RIGHT(A53,2)&lt;='Tabla Vencimiento'!$B$17),'Tabla Vencimiento'!$C$17,IF(AND(RIGHT(A53,2)&gt;='Tabla Vencimiento'!$A$18,RIGHT(A53,2)&lt;='Tabla Vencimiento'!$B$18),'Tabla Vencimiento'!$C$18,IF(AND(RIGHT(A53,2)&gt;='Tabla Vencimiento'!$A$19,RIGHT(A53,2)&lt;='Tabla Vencimiento'!$B$19),'Tabla Vencimiento'!$C$19,IF(AND(RIGHT(A53,2)&gt;='Tabla Vencimiento'!$A$20,RIGHT(A53,2)&lt;='Tabla Vencimiento'!$B$20),'Tabla Vencimiento'!$C$20,IF(AND(RIGHT(A53,2)&gt;='Tabla Vencimiento'!$A$21,RIGHT(A53,2)&lt;='Tabla Vencimiento'!$B$21),'Tabla Vencimiento'!$C$21,IF(AND(RIGHT(A53,2)&gt;='Tabla Vencimiento'!$A$22,RIGHT(A53,2)&lt;='Tabla Vencimiento'!$B$22),'Tabla Vencimiento'!$C$22,IF(AND(RIGHT(A53,2)&gt;='Tabla Vencimiento'!$A$23,RIGHT(A53,2)&lt;='Tabla Vencimiento'!$B$23),'Tabla Vencimiento'!$C$23,IF(AND(RIGHT(A53,2)&gt;='Tabla Vencimiento'!$A$24,RIGHT(A53,2)&lt;='Tabla Vencimiento'!$B$24),'Tabla Vencimiento'!$C$24,IF(AND(RIGHT(A53,2)&gt;='Tabla Vencimiento'!$A$25,RIGHT(A53,2)&lt;='Tabla Vencimiento'!$B$25),'Tabla Vencimiento'!$C$25,IF(AND(RIGHT(A53,2)&gt;='Tabla Vencimiento'!$A$26,RIGHT(A53,2)&lt;='Tabla Vencimiento'!$B$26),'Tabla Vencimiento'!$C$26,IF(AND(RIGHT(A53,2)&gt;='Tabla Vencimiento'!$A$27,RIGHT(A53,2)&lt;='Tabla Vencimiento'!$B$27),'Tabla Vencimiento'!$C$27,IF(AND(RIGHT(A53,2)&gt;='Tabla Vencimiento'!$A$28,RIGHT(A53,2)&lt;='Tabla Vencimiento'!$B$28),'Tabla Vencimiento'!$C$28,IF(AND(RIGHT(A53,2)&gt;='Tabla Vencimiento'!$A$29,RIGHT(A53,2)&lt;='Tabla Vencimiento'!$B$29),'Tabla Vencimiento'!$C$29,IF(AND(RIGHT(A53,2)&gt;='Tabla Vencimiento'!$A$30,RIGHT(A53,2)&lt;='Tabla Vencimiento'!$B$30),'Tabla Vencimiento'!$C$30,IF(AND(RIGHT(A53,2)&gt;='Tabla Vencimiento'!$A$31,RIGHT(A53,2)&lt;='Tabla Vencimiento'!$B$31),'Tabla Vencimiento'!$C$31,IF(AND(RIGHT(A53,2)&gt;='Tabla Vencimiento'!$A$32,RIGHT(A53,2)&lt;='Tabla Vencimiento'!$B$32),'Tabla Vencimiento'!$C$32,IF(AND(RIGHT(A53,2)&gt;='Tabla Vencimiento'!$A$33,RIGHT(A53,2)&lt;='Tabla Vencimiento'!$B$33),'Tabla Vencimiento'!$C$33,IF(AND(RIGHT(A53,2)&gt;='Tabla Vencimiento'!$A$34,RIGHT(A53,2)&lt;='Tabla Vencimiento'!$B$34),'Tabla Vencimiento'!$C$34,IF(AND(RIGHT(A53,2)&gt;='Tabla Vencimiento'!$A$35),'Tabla Vencimiento'!$C$35,0))))))))))))))))))))))))</f>
        <v>0</v>
      </c>
      <c r="K53" s="56">
        <f>+IF((D53="Tributación Simple"),VLOOKUP(RIGHT(A53,1),'Tabla Vencimiento'!$F$17:$G$26,2,0),0)</f>
        <v>0</v>
      </c>
      <c r="L53" s="56">
        <f>+IF(AND(RIGHT(A53,2) &gt;='Tabla Vencimiento'!$A$16,RIGHT(A53,2) &lt;='Tabla Vencimiento'!$B$16),'Tabla Vencimiento'!$D$16,IF(AND(RIGHT(A53,2) &gt;='Tabla Vencimiento'!$A$17,RIGHT(A53,2) &lt;='Tabla Vencimiento'!$B$17),'Tabla Vencimiento'!$D$17,IF(AND(RIGHT(A53,2) &gt;='Tabla Vencimiento'!$A$18,RIGHT(A53,2) &lt;='Tabla Vencimiento'!$B$18),'Tabla Vencimiento'!$D$18,IF(AND(RIGHT(A53,2) &gt;='Tabla Vencimiento'!$A$19,RIGHT(A53,2) &lt;='Tabla Vencimiento'!$B$19),'Tabla Vencimiento'!$D$19,IF(AND(RIGHT(A53,2) &gt;='Tabla Vencimiento'!$A$20,RIGHT(A53,2) &lt;='Tabla Vencimiento'!$B$20),'Tabla Vencimiento'!$D$20,IF(AND(RIGHT(A53,2) &gt;='Tabla Vencimiento'!$A$21,RIGHT(A53,2) &lt;='Tabla Vencimiento'!$B$21),'Tabla Vencimiento'!$D$21,IF(AND(RIGHT(A53,2) &gt;='Tabla Vencimiento'!$A$22,RIGHT(A53,2) &lt;='Tabla Vencimiento'!$B$22),'Tabla Vencimiento'!$D$22,IF(AND(RIGHT(A53,2) &gt;='Tabla Vencimiento'!$A$23,RIGHT(A53,2) &lt;='Tabla Vencimiento'!$B$23),'Tabla Vencimiento'!$D$23,IF(AND(RIGHT(A53,2) &gt;='Tabla Vencimiento'!$A$24,RIGHT(A53,2) &lt;='Tabla Vencimiento'!$B$24),'Tabla Vencimiento'!$D$24,IF(AND(RIGHT(A53,2) &gt;='Tabla Vencimiento'!$A$25,RIGHT(A53,2) &lt;='Tabla Vencimiento'!$B$25),'Tabla Vencimiento'!$D$25,IF(AND(RIGHT(A53,2) &gt;='Tabla Vencimiento'!$A$26,RIGHT(A53,2) &lt;='Tabla Vencimiento'!$B$26),'Tabla Vencimiento'!$D$26,IF(AND(RIGHT(A53,2) &gt;='Tabla Vencimiento'!$A$27,RIGHT(A53,2) &lt;='Tabla Vencimiento'!$B$27),'Tabla Vencimiento'!$D$27,IF(AND(RIGHT(A53,2) &gt;='Tabla Vencimiento'!$A$28,RIGHT(A53,2) &lt;='Tabla Vencimiento'!$B$28),'Tabla Vencimiento'!$D$28,IF(AND(RIGHT(A53,2) &gt;='Tabla Vencimiento'!$A$29,RIGHT(A53,2) &lt;='Tabla Vencimiento'!$B$29),'Tabla Vencimiento'!$D$29,IF(AND(RIGHT(A53,2) &gt;='Tabla Vencimiento'!$A$30,RIGHT(A53,2) &lt;='Tabla Vencimiento'!$B$30),'Tabla Vencimiento'!$D$30,IF(AND(RIGHT(A53,2) &gt;='Tabla Vencimiento'!$A$31,RIGHT(A53,2) &lt;='Tabla Vencimiento'!$B$31),'Tabla Vencimiento'!$D$31,IF(AND(RIGHT(A53,2) &gt;='Tabla Vencimiento'!$A$32,RIGHT(A53,2) &lt;='Tabla Vencimiento'!$B$32),'Tabla Vencimiento'!$D$32,IF(AND(RIGHT(A53,2) &gt;='Tabla Vencimiento'!$A$33,RIGHT(A53,2) &lt;='Tabla Vencimiento'!$B$33),'Tabla Vencimiento'!$D$33,IF(AND(RIGHT(A53,2) &gt;='Tabla Vencimiento'!$A$34,RIGHT(A53,2) &lt;='Tabla Vencimiento'!$B$34),'Tabla Vencimiento'!$D$34,IF(AND(RIGHT(A53,2) &gt;='Tabla Vencimiento'!$A$35),'Tabla Vencimiento'!$D$35,0))))))))))))))))))))</f>
        <v>0</v>
      </c>
    </row>
    <row r="54" spans="1:12" x14ac:dyDescent="0.45">
      <c r="F54" s="58"/>
      <c r="G54" s="58"/>
      <c r="H54" s="58"/>
      <c r="I54" s="58"/>
      <c r="J54" s="58"/>
      <c r="K54" s="58"/>
      <c r="L54" s="58"/>
    </row>
  </sheetData>
  <mergeCells count="1">
    <mergeCell ref="A1:L1"/>
  </mergeCells>
  <conditionalFormatting sqref="H3:H53">
    <cfRule type="cellIs" dxfId="8" priority="9" operator="equal">
      <formula>"00/01/1900"</formula>
    </cfRule>
    <cfRule type="cellIs" dxfId="7" priority="8" operator="equal">
      <formula>"00/01/1900"</formula>
    </cfRule>
    <cfRule type="cellIs" dxfId="6" priority="7" operator="equal">
      <formula>"00/01/1900"</formula>
    </cfRule>
    <cfRule type="cellIs" dxfId="5" priority="6" operator="equal">
      <formula>"00/01/1900"</formula>
    </cfRule>
    <cfRule type="expression" dxfId="4" priority="5">
      <formula>$G$2=0</formula>
    </cfRule>
    <cfRule type="cellIs" dxfId="3" priority="4" operator="equal">
      <formula>"00/01/1900"</formula>
    </cfRule>
    <cfRule type="cellIs" dxfId="2" priority="3" operator="equal">
      <formula>"00/01/1900"</formula>
    </cfRule>
    <cfRule type="cellIs" dxfId="1" priority="2" operator="equal">
      <formula>0</formula>
    </cfRule>
  </conditionalFormatting>
  <conditionalFormatting sqref="F3:L5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9719C8-BD1D-4072-B891-F57917FA0CD9}">
          <x14:formula1>
            <xm:f>Conceptos!$A$2:$A$3</xm:f>
          </x14:formula1>
          <xm:sqref>C54:C1048576</xm:sqref>
        </x14:dataValidation>
        <x14:dataValidation type="list" allowBlank="1" showInputMessage="1" showErrorMessage="1" xr:uid="{E7B7C0F7-AFA5-4444-A3C1-BEEAFC4998BF}">
          <x14:formula1>
            <xm:f>Conceptos!$B$2:$B$3</xm:f>
          </x14:formula1>
          <xm:sqref>D3:D1048576</xm:sqref>
        </x14:dataValidation>
        <x14:dataValidation type="list" allowBlank="1" showInputMessage="1" showErrorMessage="1" xr:uid="{254DBE84-3BFD-44BC-A6AC-37B4B488A0A9}">
          <x14:formula1>
            <xm:f>Conceptos!$C$2:$C$3</xm:f>
          </x14:formula1>
          <xm:sqref>E3:E1048576</xm:sqref>
        </x14:dataValidation>
        <x14:dataValidation type="list" allowBlank="1" showInputMessage="1" showErrorMessage="1" xr:uid="{E1F1F47F-394C-4530-8E59-C319C41DF0CE}">
          <x14:formula1>
            <xm:f>Conceptos!$A$2:$A$4</xm:f>
          </x14:formula1>
          <xm:sqref>C3:C53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F5F-54EF-438B-8009-C9C7C46CC17E}">
  <sheetPr codeName="Hoja2"/>
  <dimension ref="A1:C4"/>
  <sheetViews>
    <sheetView workbookViewId="0">
      <selection activeCell="C5" sqref="C5"/>
    </sheetView>
  </sheetViews>
  <sheetFormatPr baseColWidth="10" defaultRowHeight="14.25" x14ac:dyDescent="0.45"/>
  <cols>
    <col min="1" max="1" width="19.59765625" customWidth="1"/>
    <col min="2" max="2" width="20.265625" customWidth="1"/>
    <col min="3" max="3" width="14.73046875" bestFit="1" customWidth="1"/>
  </cols>
  <sheetData>
    <row r="1" spans="1:3" s="16" customFormat="1" x14ac:dyDescent="0.45">
      <c r="A1" s="16" t="s">
        <v>24</v>
      </c>
      <c r="B1" s="16" t="s">
        <v>27</v>
      </c>
      <c r="C1" s="16" t="s">
        <v>83</v>
      </c>
    </row>
    <row r="2" spans="1:3" x14ac:dyDescent="0.45">
      <c r="A2" t="s">
        <v>25</v>
      </c>
      <c r="B2" t="s">
        <v>28</v>
      </c>
      <c r="C2" t="s">
        <v>84</v>
      </c>
    </row>
    <row r="3" spans="1:3" x14ac:dyDescent="0.45">
      <c r="A3" t="s">
        <v>26</v>
      </c>
      <c r="B3" t="s">
        <v>29</v>
      </c>
      <c r="C3" t="s">
        <v>85</v>
      </c>
    </row>
    <row r="4" spans="1:3" x14ac:dyDescent="0.45">
      <c r="A4" t="s">
        <v>152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3854A-C98F-4D6C-ACC2-0E9A16E16152}">
  <sheetPr codeName="Hoja3"/>
  <dimension ref="A1:M139"/>
  <sheetViews>
    <sheetView workbookViewId="0">
      <selection activeCell="D8" sqref="D8"/>
    </sheetView>
  </sheetViews>
  <sheetFormatPr baseColWidth="10" defaultRowHeight="14.25" x14ac:dyDescent="0.45"/>
  <cols>
    <col min="1" max="1" width="9.265625" customWidth="1"/>
    <col min="2" max="2" width="17.59765625" customWidth="1"/>
    <col min="3" max="3" width="16.1328125" customWidth="1"/>
    <col min="4" max="4" width="15.265625" bestFit="1" customWidth="1"/>
    <col min="5" max="5" width="19" bestFit="1" customWidth="1"/>
    <col min="6" max="6" width="18" bestFit="1" customWidth="1"/>
    <col min="7" max="7" width="23.265625" bestFit="1" customWidth="1"/>
    <col min="8" max="8" width="14.73046875" customWidth="1"/>
    <col min="9" max="9" width="19" bestFit="1" customWidth="1"/>
    <col min="10" max="10" width="17.265625" customWidth="1"/>
    <col min="11" max="11" width="19" bestFit="1" customWidth="1"/>
    <col min="12" max="12" width="18" bestFit="1" customWidth="1"/>
    <col min="13" max="13" width="23.265625" bestFit="1" customWidth="1"/>
  </cols>
  <sheetData>
    <row r="1" spans="1:13" ht="54.75" customHeight="1" thickBot="1" x14ac:dyDescent="0.5">
      <c r="A1" s="60" t="s">
        <v>23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2"/>
    </row>
    <row r="2" spans="1:13" ht="18" thickBot="1" x14ac:dyDescent="0.5">
      <c r="A2" s="5" t="s">
        <v>0</v>
      </c>
      <c r="B2" s="4" t="s">
        <v>1</v>
      </c>
      <c r="C2" s="4" t="s">
        <v>2</v>
      </c>
      <c r="D2" s="4" t="s">
        <v>3</v>
      </c>
      <c r="E2" s="6" t="s">
        <v>4</v>
      </c>
      <c r="F2" s="4" t="s">
        <v>5</v>
      </c>
      <c r="G2" s="4" t="s">
        <v>6</v>
      </c>
      <c r="H2" s="12" t="s">
        <v>7</v>
      </c>
      <c r="I2" s="13" t="s">
        <v>8</v>
      </c>
      <c r="J2" s="12" t="s">
        <v>9</v>
      </c>
      <c r="K2" s="12" t="s">
        <v>10</v>
      </c>
      <c r="L2" s="12" t="s">
        <v>11</v>
      </c>
      <c r="M2" s="13" t="s">
        <v>12</v>
      </c>
    </row>
    <row r="3" spans="1:13" ht="17.25" x14ac:dyDescent="0.45">
      <c r="A3" s="15" t="s">
        <v>13</v>
      </c>
      <c r="B3" s="3">
        <v>44964</v>
      </c>
      <c r="C3" s="3">
        <v>44992</v>
      </c>
      <c r="D3" s="3">
        <v>45026</v>
      </c>
      <c r="E3" s="3">
        <v>45055</v>
      </c>
      <c r="F3" s="3">
        <v>45084</v>
      </c>
      <c r="G3" s="3">
        <v>45114</v>
      </c>
      <c r="H3" s="14">
        <v>45147</v>
      </c>
      <c r="I3" s="14">
        <v>45176</v>
      </c>
      <c r="J3" s="14">
        <v>45209</v>
      </c>
      <c r="K3" s="14">
        <v>45238</v>
      </c>
      <c r="L3" s="14">
        <v>45271</v>
      </c>
      <c r="M3" s="11">
        <v>45301</v>
      </c>
    </row>
    <row r="4" spans="1:13" ht="17.25" x14ac:dyDescent="0.45">
      <c r="A4" s="15" t="s">
        <v>14</v>
      </c>
      <c r="B4" s="1">
        <v>44965</v>
      </c>
      <c r="C4" s="1">
        <v>44993</v>
      </c>
      <c r="D4" s="2">
        <v>45027</v>
      </c>
      <c r="E4" s="1">
        <v>45056</v>
      </c>
      <c r="F4" s="1">
        <v>45085</v>
      </c>
      <c r="G4" s="1">
        <v>45117</v>
      </c>
      <c r="H4" s="1">
        <v>45148</v>
      </c>
      <c r="I4" s="1">
        <v>45177</v>
      </c>
      <c r="J4" s="1">
        <v>45210</v>
      </c>
      <c r="K4" s="1">
        <v>45239</v>
      </c>
      <c r="L4" s="1">
        <v>45272</v>
      </c>
      <c r="M4" s="10">
        <v>45302</v>
      </c>
    </row>
    <row r="5" spans="1:13" ht="17.25" x14ac:dyDescent="0.45">
      <c r="A5" s="15" t="s">
        <v>15</v>
      </c>
      <c r="B5" s="3">
        <v>44966</v>
      </c>
      <c r="C5" s="3">
        <v>44994</v>
      </c>
      <c r="D5" s="3">
        <v>45028</v>
      </c>
      <c r="E5" s="3">
        <v>45057</v>
      </c>
      <c r="F5" s="3">
        <v>45086</v>
      </c>
      <c r="G5" s="3">
        <v>45118</v>
      </c>
      <c r="H5" s="3">
        <v>45149</v>
      </c>
      <c r="I5" s="3">
        <v>45180</v>
      </c>
      <c r="J5" s="3">
        <v>45211</v>
      </c>
      <c r="K5" s="3">
        <v>45240</v>
      </c>
      <c r="L5" s="3">
        <v>45273</v>
      </c>
      <c r="M5" s="7">
        <v>45303</v>
      </c>
    </row>
    <row r="6" spans="1:13" ht="17.25" x14ac:dyDescent="0.45">
      <c r="A6" s="15" t="s">
        <v>16</v>
      </c>
      <c r="B6" s="1">
        <v>44967</v>
      </c>
      <c r="C6" s="1">
        <v>44995</v>
      </c>
      <c r="D6" s="2">
        <v>45029</v>
      </c>
      <c r="E6" s="1">
        <v>45058</v>
      </c>
      <c r="F6" s="1">
        <v>45090</v>
      </c>
      <c r="G6" s="1">
        <v>45119</v>
      </c>
      <c r="H6" s="1">
        <v>44787</v>
      </c>
      <c r="I6" s="1">
        <v>45181</v>
      </c>
      <c r="J6" s="1">
        <v>45212</v>
      </c>
      <c r="K6" s="1">
        <v>45244</v>
      </c>
      <c r="L6" s="1">
        <v>45274</v>
      </c>
      <c r="M6" s="10">
        <v>45306</v>
      </c>
    </row>
    <row r="7" spans="1:13" ht="17.25" x14ac:dyDescent="0.45">
      <c r="A7" s="15" t="s">
        <v>17</v>
      </c>
      <c r="B7" s="3">
        <v>44970</v>
      </c>
      <c r="C7" s="3">
        <v>44998</v>
      </c>
      <c r="D7" s="3">
        <v>45030</v>
      </c>
      <c r="E7" s="3">
        <v>45061</v>
      </c>
      <c r="F7" s="3">
        <v>45091</v>
      </c>
      <c r="G7" s="3">
        <v>45120</v>
      </c>
      <c r="H7" s="3">
        <v>45153</v>
      </c>
      <c r="I7" s="3">
        <v>45182</v>
      </c>
      <c r="J7" s="3">
        <v>45216</v>
      </c>
      <c r="K7" s="3">
        <v>45245</v>
      </c>
      <c r="L7" s="3">
        <v>45275</v>
      </c>
      <c r="M7" s="7">
        <v>45307</v>
      </c>
    </row>
    <row r="8" spans="1:13" ht="17.25" x14ac:dyDescent="0.45">
      <c r="A8" s="15" t="s">
        <v>18</v>
      </c>
      <c r="B8" s="1">
        <v>44971</v>
      </c>
      <c r="C8" s="1">
        <v>44999</v>
      </c>
      <c r="D8" s="2">
        <v>45033</v>
      </c>
      <c r="E8" s="1">
        <v>45062</v>
      </c>
      <c r="F8" s="1">
        <v>45092</v>
      </c>
      <c r="G8" s="1">
        <v>45121</v>
      </c>
      <c r="H8" s="1">
        <v>45154</v>
      </c>
      <c r="I8" s="1">
        <v>45183</v>
      </c>
      <c r="J8" s="1">
        <v>45217</v>
      </c>
      <c r="K8" s="1">
        <v>45246</v>
      </c>
      <c r="L8" s="1">
        <v>45278</v>
      </c>
      <c r="M8" s="10">
        <v>45308</v>
      </c>
    </row>
    <row r="9" spans="1:13" ht="17.25" x14ac:dyDescent="0.45">
      <c r="A9" s="15" t="s">
        <v>19</v>
      </c>
      <c r="B9" s="3">
        <v>44972</v>
      </c>
      <c r="C9" s="3">
        <v>45000</v>
      </c>
      <c r="D9" s="3">
        <v>45034</v>
      </c>
      <c r="E9" s="3">
        <v>45063</v>
      </c>
      <c r="F9" s="3">
        <v>45093</v>
      </c>
      <c r="G9" s="3">
        <v>45124</v>
      </c>
      <c r="H9" s="3">
        <v>45155</v>
      </c>
      <c r="I9" s="3">
        <v>45184</v>
      </c>
      <c r="J9" s="3">
        <v>45218</v>
      </c>
      <c r="K9" s="3">
        <v>45247</v>
      </c>
      <c r="L9" s="3">
        <v>45279</v>
      </c>
      <c r="M9" s="7">
        <v>45309</v>
      </c>
    </row>
    <row r="10" spans="1:13" ht="17.25" x14ac:dyDescent="0.45">
      <c r="A10" s="15" t="s">
        <v>20</v>
      </c>
      <c r="B10" s="1">
        <v>44973</v>
      </c>
      <c r="C10" s="1">
        <v>45001</v>
      </c>
      <c r="D10" s="2">
        <v>45035</v>
      </c>
      <c r="E10" s="1">
        <v>45064</v>
      </c>
      <c r="F10" s="1">
        <v>45097</v>
      </c>
      <c r="G10" s="1">
        <v>45125</v>
      </c>
      <c r="H10" s="1">
        <v>45156</v>
      </c>
      <c r="I10" s="1">
        <v>45187</v>
      </c>
      <c r="J10" s="1">
        <v>45219</v>
      </c>
      <c r="K10" s="1">
        <v>45250</v>
      </c>
      <c r="L10" s="1">
        <v>45280</v>
      </c>
      <c r="M10" s="10">
        <v>45310</v>
      </c>
    </row>
    <row r="11" spans="1:13" ht="17.25" x14ac:dyDescent="0.45">
      <c r="A11" s="15" t="s">
        <v>21</v>
      </c>
      <c r="B11" s="3">
        <v>44974</v>
      </c>
      <c r="C11" s="3">
        <v>45002</v>
      </c>
      <c r="D11" s="3">
        <v>45036</v>
      </c>
      <c r="E11" s="3">
        <v>45065</v>
      </c>
      <c r="F11" s="3">
        <v>45098</v>
      </c>
      <c r="G11" s="3">
        <v>45126</v>
      </c>
      <c r="H11" s="3">
        <v>45160</v>
      </c>
      <c r="I11" s="3">
        <v>45188</v>
      </c>
      <c r="J11" s="3">
        <v>45222</v>
      </c>
      <c r="K11" s="3">
        <v>45251</v>
      </c>
      <c r="L11" s="3">
        <v>45281</v>
      </c>
      <c r="M11" s="7">
        <v>45313</v>
      </c>
    </row>
    <row r="12" spans="1:13" ht="17.649999999999999" thickBot="1" x14ac:dyDescent="0.5">
      <c r="A12" s="15" t="s">
        <v>22</v>
      </c>
      <c r="B12" s="1">
        <v>44977</v>
      </c>
      <c r="C12" s="1">
        <v>45006</v>
      </c>
      <c r="D12" s="2">
        <v>45037</v>
      </c>
      <c r="E12" s="1">
        <v>45069</v>
      </c>
      <c r="F12" s="1">
        <v>45099</v>
      </c>
      <c r="G12" s="1">
        <v>45128</v>
      </c>
      <c r="H12" s="8">
        <v>45161</v>
      </c>
      <c r="I12" s="8">
        <v>45189</v>
      </c>
      <c r="J12" s="8">
        <v>45223</v>
      </c>
      <c r="K12" s="8">
        <v>45252</v>
      </c>
      <c r="L12" s="8">
        <v>45282</v>
      </c>
      <c r="M12" s="9">
        <v>45314</v>
      </c>
    </row>
    <row r="13" spans="1:13" ht="14.65" thickBot="1" x14ac:dyDescent="0.5"/>
    <row r="14" spans="1:13" ht="34.5" customHeight="1" thickBot="1" x14ac:dyDescent="0.5">
      <c r="A14" s="77" t="s">
        <v>79</v>
      </c>
      <c r="B14" s="78"/>
      <c r="C14" s="78"/>
      <c r="D14" s="78"/>
      <c r="F14" s="65" t="s">
        <v>94</v>
      </c>
      <c r="G14" s="73"/>
      <c r="I14" s="65" t="s">
        <v>96</v>
      </c>
      <c r="J14" s="66"/>
    </row>
    <row r="15" spans="1:13" ht="18" thickBot="1" x14ac:dyDescent="0.5">
      <c r="A15" s="5" t="s">
        <v>36</v>
      </c>
      <c r="B15" s="5" t="s">
        <v>37</v>
      </c>
      <c r="C15" s="5" t="s">
        <v>34</v>
      </c>
      <c r="D15" s="19" t="s">
        <v>78</v>
      </c>
      <c r="F15" s="67"/>
      <c r="G15" s="74"/>
      <c r="I15" s="67"/>
      <c r="J15" s="68"/>
    </row>
    <row r="16" spans="1:13" ht="18" thickBot="1" x14ac:dyDescent="0.5">
      <c r="A16" s="15" t="s">
        <v>38</v>
      </c>
      <c r="B16" s="3" t="s">
        <v>39</v>
      </c>
      <c r="C16" s="18">
        <v>45026</v>
      </c>
      <c r="D16" s="18">
        <v>45062</v>
      </c>
      <c r="F16" s="24" t="s">
        <v>0</v>
      </c>
      <c r="G16" s="25" t="s">
        <v>95</v>
      </c>
      <c r="I16" s="75" t="s">
        <v>0</v>
      </c>
      <c r="J16" s="76"/>
    </row>
    <row r="17" spans="1:10" ht="17.649999999999999" thickBot="1" x14ac:dyDescent="0.5">
      <c r="A17" s="15" t="s">
        <v>40</v>
      </c>
      <c r="B17" s="1" t="s">
        <v>41</v>
      </c>
      <c r="C17" s="18">
        <v>45027</v>
      </c>
      <c r="D17" s="18">
        <v>45063</v>
      </c>
      <c r="F17" s="29" t="s">
        <v>13</v>
      </c>
      <c r="G17" s="26">
        <v>45026</v>
      </c>
      <c r="I17" s="35" t="s">
        <v>13</v>
      </c>
      <c r="J17" s="32">
        <v>44977</v>
      </c>
    </row>
    <row r="18" spans="1:10" ht="17.649999999999999" thickBot="1" x14ac:dyDescent="0.5">
      <c r="A18" s="15" t="s">
        <v>42</v>
      </c>
      <c r="B18" s="3" t="s">
        <v>43</v>
      </c>
      <c r="C18" s="18">
        <v>45028</v>
      </c>
      <c r="D18" s="18">
        <v>45064</v>
      </c>
      <c r="F18" s="30" t="s">
        <v>14</v>
      </c>
      <c r="G18" s="27">
        <f>+G17+1</f>
        <v>45027</v>
      </c>
      <c r="I18" s="36" t="s">
        <v>14</v>
      </c>
      <c r="J18" s="32">
        <v>44977</v>
      </c>
    </row>
    <row r="19" spans="1:10" ht="17.649999999999999" thickBot="1" x14ac:dyDescent="0.5">
      <c r="A19" s="15" t="s">
        <v>44</v>
      </c>
      <c r="B19" s="1" t="s">
        <v>45</v>
      </c>
      <c r="C19" s="18">
        <v>45029</v>
      </c>
      <c r="D19" s="18">
        <v>45065</v>
      </c>
      <c r="F19" s="29" t="s">
        <v>15</v>
      </c>
      <c r="G19" s="26">
        <v>45028</v>
      </c>
      <c r="I19" s="37" t="s">
        <v>15</v>
      </c>
      <c r="J19" s="32">
        <v>44978</v>
      </c>
    </row>
    <row r="20" spans="1:10" ht="17.649999999999999" thickBot="1" x14ac:dyDescent="0.5">
      <c r="A20" s="15" t="s">
        <v>46</v>
      </c>
      <c r="B20" s="3" t="s">
        <v>47</v>
      </c>
      <c r="C20" s="18">
        <v>45030</v>
      </c>
      <c r="D20" s="18">
        <v>45069</v>
      </c>
      <c r="F20" s="30" t="s">
        <v>16</v>
      </c>
      <c r="G20" s="27">
        <f>+G19+1</f>
        <v>45029</v>
      </c>
      <c r="I20" s="36" t="s">
        <v>16</v>
      </c>
      <c r="J20" s="32">
        <v>44978</v>
      </c>
    </row>
    <row r="21" spans="1:10" ht="17.649999999999999" thickBot="1" x14ac:dyDescent="0.5">
      <c r="A21" s="15" t="s">
        <v>48</v>
      </c>
      <c r="B21" s="1" t="s">
        <v>49</v>
      </c>
      <c r="C21" s="18">
        <v>45033</v>
      </c>
      <c r="D21" s="18">
        <v>45070</v>
      </c>
      <c r="F21" s="31" t="s">
        <v>17</v>
      </c>
      <c r="G21" s="28">
        <f>+G20+1</f>
        <v>45030</v>
      </c>
      <c r="I21" s="38" t="s">
        <v>17</v>
      </c>
      <c r="J21" s="33">
        <v>44979</v>
      </c>
    </row>
    <row r="22" spans="1:10" ht="17.25" x14ac:dyDescent="0.45">
      <c r="A22" s="15" t="s">
        <v>50</v>
      </c>
      <c r="B22" s="3" t="s">
        <v>51</v>
      </c>
      <c r="C22" s="18">
        <v>45034</v>
      </c>
      <c r="D22" s="18">
        <v>45071</v>
      </c>
      <c r="F22" s="29" t="s">
        <v>18</v>
      </c>
      <c r="G22" s="26">
        <v>45033</v>
      </c>
      <c r="I22" s="39" t="s">
        <v>18</v>
      </c>
      <c r="J22" s="34">
        <v>44979</v>
      </c>
    </row>
    <row r="23" spans="1:10" ht="17.25" x14ac:dyDescent="0.45">
      <c r="A23" s="15" t="s">
        <v>52</v>
      </c>
      <c r="B23" s="1" t="s">
        <v>53</v>
      </c>
      <c r="C23" s="18">
        <v>45035</v>
      </c>
      <c r="D23" s="18">
        <v>45072</v>
      </c>
      <c r="F23" s="30" t="s">
        <v>19</v>
      </c>
      <c r="G23" s="27">
        <f>+G22+1</f>
        <v>45034</v>
      </c>
      <c r="I23" s="40" t="s">
        <v>19</v>
      </c>
      <c r="J23" s="34">
        <v>44980</v>
      </c>
    </row>
    <row r="24" spans="1:10" ht="17.25" x14ac:dyDescent="0.45">
      <c r="A24" s="15" t="s">
        <v>54</v>
      </c>
      <c r="B24" s="3" t="s">
        <v>55</v>
      </c>
      <c r="C24" s="18">
        <v>45036</v>
      </c>
      <c r="D24" s="18">
        <v>45075</v>
      </c>
      <c r="F24" s="29" t="s">
        <v>20</v>
      </c>
      <c r="G24" s="26">
        <f>+G23+1</f>
        <v>45035</v>
      </c>
      <c r="I24" s="39" t="s">
        <v>20</v>
      </c>
      <c r="J24" s="34">
        <v>44980</v>
      </c>
    </row>
    <row r="25" spans="1:10" ht="17.25" x14ac:dyDescent="0.45">
      <c r="A25" s="15" t="s">
        <v>56</v>
      </c>
      <c r="B25" s="1" t="s">
        <v>57</v>
      </c>
      <c r="C25" s="18">
        <v>45037</v>
      </c>
      <c r="D25" s="18">
        <v>45076</v>
      </c>
      <c r="F25" s="30" t="s">
        <v>21</v>
      </c>
      <c r="G25" s="27">
        <f>+G24+1</f>
        <v>45036</v>
      </c>
      <c r="I25" s="40" t="s">
        <v>21</v>
      </c>
      <c r="J25" s="34">
        <v>44981</v>
      </c>
    </row>
    <row r="26" spans="1:10" ht="17.649999999999999" thickBot="1" x14ac:dyDescent="0.5">
      <c r="A26" s="15" t="s">
        <v>58</v>
      </c>
      <c r="B26" s="3" t="s">
        <v>59</v>
      </c>
      <c r="C26" s="18">
        <v>45040</v>
      </c>
      <c r="D26" s="18">
        <v>45077</v>
      </c>
      <c r="F26" s="31" t="s">
        <v>22</v>
      </c>
      <c r="G26" s="28">
        <f>+G25+1</f>
        <v>45037</v>
      </c>
      <c r="I26" s="39" t="s">
        <v>22</v>
      </c>
      <c r="J26" s="34">
        <v>44981</v>
      </c>
    </row>
    <row r="27" spans="1:10" ht="17.25" x14ac:dyDescent="0.45">
      <c r="A27" s="15" t="s">
        <v>60</v>
      </c>
      <c r="B27" s="1" t="s">
        <v>61</v>
      </c>
      <c r="C27" s="18">
        <v>45041</v>
      </c>
      <c r="D27" s="18">
        <v>45078</v>
      </c>
    </row>
    <row r="28" spans="1:10" ht="17.25" x14ac:dyDescent="0.45">
      <c r="A28" s="15" t="s">
        <v>62</v>
      </c>
      <c r="B28" s="3" t="s">
        <v>63</v>
      </c>
      <c r="C28" s="18">
        <v>45042</v>
      </c>
      <c r="D28" s="18">
        <v>45079</v>
      </c>
    </row>
    <row r="29" spans="1:10" ht="17.25" x14ac:dyDescent="0.45">
      <c r="A29" s="15" t="s">
        <v>64</v>
      </c>
      <c r="B29" s="1" t="s">
        <v>65</v>
      </c>
      <c r="C29" s="18">
        <v>45043</v>
      </c>
      <c r="D29" s="18">
        <v>45082</v>
      </c>
    </row>
    <row r="30" spans="1:10" ht="17.25" x14ac:dyDescent="0.45">
      <c r="A30" s="15" t="s">
        <v>66</v>
      </c>
      <c r="B30" s="3" t="s">
        <v>67</v>
      </c>
      <c r="C30" s="18">
        <v>45044</v>
      </c>
      <c r="D30" s="18">
        <v>45083</v>
      </c>
    </row>
    <row r="31" spans="1:10" ht="17.25" x14ac:dyDescent="0.45">
      <c r="A31" s="15" t="s">
        <v>68</v>
      </c>
      <c r="B31" s="1" t="s">
        <v>69</v>
      </c>
      <c r="C31" s="18">
        <v>45048</v>
      </c>
      <c r="D31" s="18">
        <v>45084</v>
      </c>
    </row>
    <row r="32" spans="1:10" ht="17.25" x14ac:dyDescent="0.45">
      <c r="A32" s="15" t="s">
        <v>70</v>
      </c>
      <c r="B32" s="3" t="s">
        <v>71</v>
      </c>
      <c r="C32" s="18">
        <v>45049</v>
      </c>
      <c r="D32" s="18">
        <v>45085</v>
      </c>
    </row>
    <row r="33" spans="1:11" ht="17.25" x14ac:dyDescent="0.45">
      <c r="A33" s="15" t="s">
        <v>72</v>
      </c>
      <c r="B33" s="1" t="s">
        <v>73</v>
      </c>
      <c r="C33" s="18">
        <v>45050</v>
      </c>
      <c r="D33" s="18">
        <v>45086</v>
      </c>
    </row>
    <row r="34" spans="1:11" ht="17.25" x14ac:dyDescent="0.45">
      <c r="A34" s="15" t="s">
        <v>74</v>
      </c>
      <c r="B34" s="3" t="s">
        <v>75</v>
      </c>
      <c r="C34" s="18">
        <v>45051</v>
      </c>
      <c r="D34" s="18">
        <v>45090</v>
      </c>
    </row>
    <row r="35" spans="1:11" ht="17.25" x14ac:dyDescent="0.45">
      <c r="A35" s="15" t="s">
        <v>76</v>
      </c>
      <c r="B35" s="1" t="s">
        <v>77</v>
      </c>
      <c r="C35" s="18">
        <v>45054</v>
      </c>
      <c r="D35" s="18">
        <v>45091</v>
      </c>
    </row>
    <row r="36" spans="1:11" x14ac:dyDescent="0.45">
      <c r="A36" s="17"/>
      <c r="B36" s="17"/>
    </row>
    <row r="37" spans="1:11" ht="18.75" customHeight="1" thickBot="1" x14ac:dyDescent="0.5">
      <c r="A37" s="63" t="s">
        <v>87</v>
      </c>
      <c r="B37" s="64"/>
      <c r="C37" s="64"/>
      <c r="D37" s="64"/>
      <c r="E37" s="64"/>
      <c r="F37" s="64"/>
      <c r="G37" s="64"/>
      <c r="I37" s="63" t="s">
        <v>97</v>
      </c>
      <c r="J37" s="64"/>
      <c r="K37" s="48"/>
    </row>
    <row r="38" spans="1:11" ht="18" customHeight="1" x14ac:dyDescent="0.45">
      <c r="A38" s="20" t="s">
        <v>0</v>
      </c>
      <c r="B38" s="4" t="s">
        <v>88</v>
      </c>
      <c r="C38" s="4" t="s">
        <v>89</v>
      </c>
      <c r="D38" s="4" t="s">
        <v>90</v>
      </c>
      <c r="E38" s="4" t="s">
        <v>91</v>
      </c>
      <c r="F38" s="4" t="s">
        <v>92</v>
      </c>
      <c r="G38" s="4" t="s">
        <v>93</v>
      </c>
      <c r="I38" s="69" t="s">
        <v>0</v>
      </c>
      <c r="J38" s="71" t="s">
        <v>0</v>
      </c>
    </row>
    <row r="39" spans="1:11" ht="17.25" x14ac:dyDescent="0.45">
      <c r="A39" s="21" t="s">
        <v>13</v>
      </c>
      <c r="B39" s="3">
        <v>45055</v>
      </c>
      <c r="C39" s="3">
        <v>45084</v>
      </c>
      <c r="D39" s="3">
        <v>45114</v>
      </c>
      <c r="E39" s="3">
        <v>45176</v>
      </c>
      <c r="F39" s="3">
        <v>45238</v>
      </c>
      <c r="G39" s="7">
        <v>45301</v>
      </c>
      <c r="I39" s="70"/>
      <c r="J39" s="72"/>
    </row>
    <row r="40" spans="1:11" ht="17.25" x14ac:dyDescent="0.45">
      <c r="A40" s="22" t="s">
        <v>14</v>
      </c>
      <c r="B40" s="1">
        <f>+B39+1</f>
        <v>45056</v>
      </c>
      <c r="C40" s="1">
        <f>+C39+1</f>
        <v>45085</v>
      </c>
      <c r="D40" s="1">
        <v>45117</v>
      </c>
      <c r="E40" s="1">
        <f>+E39+1</f>
        <v>45177</v>
      </c>
      <c r="F40" s="1">
        <f>+F39+1</f>
        <v>45239</v>
      </c>
      <c r="G40" s="10">
        <f>+G39+1</f>
        <v>45302</v>
      </c>
      <c r="I40" s="44" t="s">
        <v>13</v>
      </c>
      <c r="J40" s="41">
        <v>45147</v>
      </c>
    </row>
    <row r="41" spans="1:11" ht="17.25" x14ac:dyDescent="0.45">
      <c r="A41" s="21" t="s">
        <v>15</v>
      </c>
      <c r="B41" s="3">
        <f t="shared" ref="B41:B46" si="0">+B40+1</f>
        <v>45057</v>
      </c>
      <c r="C41" s="3">
        <f t="shared" ref="C41:C45" si="1">+C40+1</f>
        <v>45086</v>
      </c>
      <c r="D41" s="3">
        <f>+D40+1</f>
        <v>45118</v>
      </c>
      <c r="E41" s="3">
        <v>45180</v>
      </c>
      <c r="F41" s="3">
        <f>+F40+1</f>
        <v>45240</v>
      </c>
      <c r="G41" s="7">
        <f t="shared" ref="G41:G46" si="2">+G40+1</f>
        <v>45303</v>
      </c>
      <c r="I41" s="46" t="s">
        <v>15</v>
      </c>
      <c r="J41" s="42">
        <v>45148</v>
      </c>
    </row>
    <row r="42" spans="1:11" ht="17.25" x14ac:dyDescent="0.45">
      <c r="A42" s="22" t="s">
        <v>16</v>
      </c>
      <c r="B42" s="1">
        <f t="shared" si="0"/>
        <v>45058</v>
      </c>
      <c r="C42" s="1">
        <v>45090</v>
      </c>
      <c r="D42" s="1">
        <f>+D41+1</f>
        <v>45119</v>
      </c>
      <c r="E42" s="1">
        <v>45181</v>
      </c>
      <c r="F42" s="1">
        <v>45244</v>
      </c>
      <c r="G42" s="10">
        <v>45306</v>
      </c>
      <c r="I42" s="44" t="s">
        <v>17</v>
      </c>
      <c r="J42" s="41">
        <v>45149</v>
      </c>
    </row>
    <row r="43" spans="1:11" ht="17.25" x14ac:dyDescent="0.45">
      <c r="A43" s="21" t="s">
        <v>17</v>
      </c>
      <c r="B43" s="3">
        <v>45061</v>
      </c>
      <c r="C43" s="3">
        <f>+C42+1</f>
        <v>45091</v>
      </c>
      <c r="D43" s="3">
        <f>+D42+1</f>
        <v>45120</v>
      </c>
      <c r="E43" s="3">
        <f>+E42+1</f>
        <v>45182</v>
      </c>
      <c r="F43" s="3">
        <f>+F42+1</f>
        <v>45245</v>
      </c>
      <c r="G43" s="7">
        <f t="shared" si="2"/>
        <v>45307</v>
      </c>
      <c r="I43" s="47" t="s">
        <v>19</v>
      </c>
      <c r="J43" s="42">
        <v>45152</v>
      </c>
    </row>
    <row r="44" spans="1:11" ht="17.25" x14ac:dyDescent="0.45">
      <c r="A44" s="22" t="s">
        <v>18</v>
      </c>
      <c r="B44" s="1">
        <f>+B43+1</f>
        <v>45062</v>
      </c>
      <c r="C44" s="1">
        <v>45092</v>
      </c>
      <c r="D44" s="1">
        <f>+D43+1</f>
        <v>45121</v>
      </c>
      <c r="E44" s="1">
        <f t="shared" ref="E44:E45" si="3">+E43+1</f>
        <v>45183</v>
      </c>
      <c r="F44" s="1">
        <f>+F43+1</f>
        <v>45246</v>
      </c>
      <c r="G44" s="10">
        <f t="shared" si="2"/>
        <v>45308</v>
      </c>
      <c r="I44" s="44" t="s">
        <v>21</v>
      </c>
      <c r="J44" s="41">
        <v>45153</v>
      </c>
    </row>
    <row r="45" spans="1:11" ht="17.25" x14ac:dyDescent="0.45">
      <c r="A45" s="21" t="s">
        <v>19</v>
      </c>
      <c r="B45" s="3">
        <f>+B44+1</f>
        <v>45063</v>
      </c>
      <c r="C45" s="3">
        <f t="shared" si="1"/>
        <v>45093</v>
      </c>
      <c r="D45" s="3">
        <v>45124</v>
      </c>
      <c r="E45" s="3">
        <f t="shared" si="3"/>
        <v>45184</v>
      </c>
      <c r="F45" s="3">
        <f>+F44+1</f>
        <v>45247</v>
      </c>
      <c r="G45" s="7">
        <f>+G44+1</f>
        <v>45309</v>
      </c>
      <c r="I45" s="47" t="s">
        <v>42</v>
      </c>
      <c r="J45" s="42">
        <v>45154</v>
      </c>
    </row>
    <row r="46" spans="1:11" ht="17.25" x14ac:dyDescent="0.45">
      <c r="A46" s="22" t="s">
        <v>20</v>
      </c>
      <c r="B46" s="1">
        <f t="shared" si="0"/>
        <v>45064</v>
      </c>
      <c r="C46" s="1">
        <v>45097</v>
      </c>
      <c r="D46" s="1">
        <f>+D45+1</f>
        <v>45125</v>
      </c>
      <c r="E46" s="1">
        <v>45187</v>
      </c>
      <c r="F46" s="1">
        <v>45250</v>
      </c>
      <c r="G46" s="10">
        <f t="shared" si="2"/>
        <v>45310</v>
      </c>
      <c r="I46" s="44" t="s">
        <v>99</v>
      </c>
      <c r="J46" s="41">
        <v>45155</v>
      </c>
    </row>
    <row r="47" spans="1:11" ht="17.25" x14ac:dyDescent="0.45">
      <c r="A47" s="21" t="s">
        <v>21</v>
      </c>
      <c r="B47" s="3">
        <f>+B46+1</f>
        <v>45065</v>
      </c>
      <c r="C47" s="3">
        <f>+C46+1</f>
        <v>45098</v>
      </c>
      <c r="D47" s="3">
        <v>45126</v>
      </c>
      <c r="E47" s="3">
        <v>45188</v>
      </c>
      <c r="F47" s="3">
        <f>+F46+1</f>
        <v>45251</v>
      </c>
      <c r="G47" s="7">
        <v>45313</v>
      </c>
      <c r="I47" s="47" t="s">
        <v>43</v>
      </c>
      <c r="J47" s="42">
        <v>45156</v>
      </c>
    </row>
    <row r="48" spans="1:11" ht="17.649999999999999" thickBot="1" x14ac:dyDescent="0.5">
      <c r="A48" s="23" t="s">
        <v>22</v>
      </c>
      <c r="B48" s="8">
        <v>45069</v>
      </c>
      <c r="C48" s="8">
        <f>+C47+1</f>
        <v>45099</v>
      </c>
      <c r="D48" s="8">
        <v>45128</v>
      </c>
      <c r="E48" s="8">
        <f>+E47+1</f>
        <v>45189</v>
      </c>
      <c r="F48" s="8">
        <f>+F47+1</f>
        <v>45252</v>
      </c>
      <c r="G48" s="9">
        <f>+G47+1</f>
        <v>45314</v>
      </c>
      <c r="I48" s="44" t="s">
        <v>101</v>
      </c>
      <c r="J48" s="41">
        <v>45160</v>
      </c>
    </row>
    <row r="49" spans="9:10" ht="17.25" x14ac:dyDescent="0.45">
      <c r="I49" s="47" t="s">
        <v>103</v>
      </c>
      <c r="J49" s="42">
        <v>45161</v>
      </c>
    </row>
    <row r="50" spans="9:10" ht="17.25" x14ac:dyDescent="0.45">
      <c r="I50" s="44" t="s">
        <v>46</v>
      </c>
      <c r="J50" s="41">
        <v>45162</v>
      </c>
    </row>
    <row r="51" spans="9:10" ht="17.25" x14ac:dyDescent="0.45">
      <c r="I51" s="47" t="s">
        <v>105</v>
      </c>
      <c r="J51" s="42">
        <v>45163</v>
      </c>
    </row>
    <row r="52" spans="9:10" ht="17.25" x14ac:dyDescent="0.45">
      <c r="I52" s="44" t="s">
        <v>47</v>
      </c>
      <c r="J52" s="41">
        <v>45166</v>
      </c>
    </row>
    <row r="53" spans="9:10" ht="17.25" x14ac:dyDescent="0.45">
      <c r="I53" s="47" t="s">
        <v>107</v>
      </c>
      <c r="J53" s="42">
        <v>45167</v>
      </c>
    </row>
    <row r="54" spans="9:10" ht="17.25" x14ac:dyDescent="0.45">
      <c r="I54" s="44" t="s">
        <v>109</v>
      </c>
      <c r="J54" s="41">
        <v>45168</v>
      </c>
    </row>
    <row r="55" spans="9:10" ht="17.25" x14ac:dyDescent="0.45">
      <c r="I55" s="47" t="s">
        <v>50</v>
      </c>
      <c r="J55" s="42">
        <v>45169</v>
      </c>
    </row>
    <row r="56" spans="9:10" ht="17.25" x14ac:dyDescent="0.45">
      <c r="I56" s="44" t="s">
        <v>111</v>
      </c>
      <c r="J56" s="41">
        <v>45170</v>
      </c>
    </row>
    <row r="57" spans="9:10" ht="17.25" x14ac:dyDescent="0.45">
      <c r="I57" s="47" t="s">
        <v>51</v>
      </c>
      <c r="J57" s="42">
        <v>45173</v>
      </c>
    </row>
    <row r="58" spans="9:10" ht="17.25" x14ac:dyDescent="0.45">
      <c r="I58" s="44" t="s">
        <v>113</v>
      </c>
      <c r="J58" s="41">
        <v>45174</v>
      </c>
    </row>
    <row r="59" spans="9:10" ht="17.25" x14ac:dyDescent="0.45">
      <c r="I59" s="47" t="s">
        <v>115</v>
      </c>
      <c r="J59" s="42">
        <v>45175</v>
      </c>
    </row>
    <row r="60" spans="9:10" ht="17.25" x14ac:dyDescent="0.45">
      <c r="I60" s="44" t="s">
        <v>54</v>
      </c>
      <c r="J60" s="41">
        <v>45176</v>
      </c>
    </row>
    <row r="61" spans="9:10" ht="17.25" x14ac:dyDescent="0.45">
      <c r="I61" s="47" t="s">
        <v>117</v>
      </c>
      <c r="J61" s="42">
        <v>45177</v>
      </c>
    </row>
    <row r="62" spans="9:10" ht="17.25" x14ac:dyDescent="0.45">
      <c r="I62" s="44" t="s">
        <v>55</v>
      </c>
      <c r="J62" s="41">
        <v>45180</v>
      </c>
    </row>
    <row r="63" spans="9:10" ht="17.25" x14ac:dyDescent="0.45">
      <c r="I63" s="47" t="s">
        <v>119</v>
      </c>
      <c r="J63" s="42">
        <v>45181</v>
      </c>
    </row>
    <row r="64" spans="9:10" ht="17.25" x14ac:dyDescent="0.45">
      <c r="I64" s="44" t="s">
        <v>121</v>
      </c>
      <c r="J64" s="41">
        <v>45182</v>
      </c>
    </row>
    <row r="65" spans="9:10" ht="17.25" x14ac:dyDescent="0.45">
      <c r="I65" s="44" t="s">
        <v>58</v>
      </c>
      <c r="J65" s="41">
        <v>45183</v>
      </c>
    </row>
    <row r="66" spans="9:10" ht="17.25" x14ac:dyDescent="0.45">
      <c r="I66" s="46" t="s">
        <v>123</v>
      </c>
      <c r="J66" s="42">
        <v>45184</v>
      </c>
    </row>
    <row r="67" spans="9:10" ht="17.25" x14ac:dyDescent="0.45">
      <c r="I67" s="44" t="s">
        <v>59</v>
      </c>
      <c r="J67" s="41">
        <v>45187</v>
      </c>
    </row>
    <row r="68" spans="9:10" ht="17.25" x14ac:dyDescent="0.45">
      <c r="I68" s="47" t="s">
        <v>125</v>
      </c>
      <c r="J68" s="42">
        <v>45188</v>
      </c>
    </row>
    <row r="69" spans="9:10" ht="17.25" x14ac:dyDescent="0.45">
      <c r="I69" s="44" t="s">
        <v>127</v>
      </c>
      <c r="J69" s="41">
        <v>45189</v>
      </c>
    </row>
    <row r="70" spans="9:10" ht="17.25" x14ac:dyDescent="0.45">
      <c r="I70" s="47" t="s">
        <v>62</v>
      </c>
      <c r="J70" s="42">
        <v>45190</v>
      </c>
    </row>
    <row r="71" spans="9:10" ht="17.25" x14ac:dyDescent="0.45">
      <c r="I71" s="44" t="s">
        <v>129</v>
      </c>
      <c r="J71" s="41">
        <v>45191</v>
      </c>
    </row>
    <row r="72" spans="9:10" ht="17.25" x14ac:dyDescent="0.45">
      <c r="I72" s="47" t="s">
        <v>63</v>
      </c>
      <c r="J72" s="42">
        <v>45194</v>
      </c>
    </row>
    <row r="73" spans="9:10" ht="17.25" x14ac:dyDescent="0.45">
      <c r="I73" s="44" t="s">
        <v>131</v>
      </c>
      <c r="J73" s="41">
        <v>45195</v>
      </c>
    </row>
    <row r="74" spans="9:10" ht="17.25" x14ac:dyDescent="0.45">
      <c r="I74" s="47" t="s">
        <v>133</v>
      </c>
      <c r="J74" s="42">
        <v>45196</v>
      </c>
    </row>
    <row r="75" spans="9:10" ht="17.25" x14ac:dyDescent="0.45">
      <c r="I75" s="44" t="s">
        <v>66</v>
      </c>
      <c r="J75" s="41">
        <v>45197</v>
      </c>
    </row>
    <row r="76" spans="9:10" ht="17.25" x14ac:dyDescent="0.45">
      <c r="I76" s="47" t="s">
        <v>135</v>
      </c>
      <c r="J76" s="42">
        <v>45198</v>
      </c>
    </row>
    <row r="77" spans="9:10" ht="17.25" x14ac:dyDescent="0.45">
      <c r="I77" s="44" t="s">
        <v>67</v>
      </c>
      <c r="J77" s="41">
        <v>45201</v>
      </c>
    </row>
    <row r="78" spans="9:10" ht="17.25" x14ac:dyDescent="0.45">
      <c r="I78" s="47" t="s">
        <v>137</v>
      </c>
      <c r="J78" s="42">
        <v>45202</v>
      </c>
    </row>
    <row r="79" spans="9:10" ht="17.25" x14ac:dyDescent="0.45">
      <c r="I79" s="44" t="s">
        <v>139</v>
      </c>
      <c r="J79" s="41">
        <v>45203</v>
      </c>
    </row>
    <row r="80" spans="9:10" ht="17.25" x14ac:dyDescent="0.45">
      <c r="I80" s="47" t="s">
        <v>70</v>
      </c>
      <c r="J80" s="42">
        <v>45204</v>
      </c>
    </row>
    <row r="81" spans="9:10" ht="17.25" x14ac:dyDescent="0.45">
      <c r="I81" s="44" t="s">
        <v>141</v>
      </c>
      <c r="J81" s="41">
        <v>45205</v>
      </c>
    </row>
    <row r="82" spans="9:10" ht="17.25" x14ac:dyDescent="0.45">
      <c r="I82" s="47" t="s">
        <v>71</v>
      </c>
      <c r="J82" s="42">
        <v>45208</v>
      </c>
    </row>
    <row r="83" spans="9:10" ht="17.25" x14ac:dyDescent="0.45">
      <c r="I83" s="44" t="s">
        <v>143</v>
      </c>
      <c r="J83" s="41">
        <v>45209</v>
      </c>
    </row>
    <row r="84" spans="9:10" ht="17.25" x14ac:dyDescent="0.45">
      <c r="I84" s="47" t="s">
        <v>145</v>
      </c>
      <c r="J84" s="42">
        <v>45210</v>
      </c>
    </row>
    <row r="85" spans="9:10" ht="17.25" x14ac:dyDescent="0.45">
      <c r="I85" s="44" t="s">
        <v>74</v>
      </c>
      <c r="J85" s="41">
        <v>45211</v>
      </c>
    </row>
    <row r="86" spans="9:10" ht="17.25" x14ac:dyDescent="0.45">
      <c r="I86" s="47" t="s">
        <v>147</v>
      </c>
      <c r="J86" s="42">
        <v>45212</v>
      </c>
    </row>
    <row r="87" spans="9:10" ht="17.25" x14ac:dyDescent="0.45">
      <c r="I87" s="44" t="s">
        <v>75</v>
      </c>
      <c r="J87" s="41">
        <v>45216</v>
      </c>
    </row>
    <row r="88" spans="9:10" ht="17.25" x14ac:dyDescent="0.45">
      <c r="I88" s="47" t="s">
        <v>149</v>
      </c>
      <c r="J88" s="42">
        <v>45217</v>
      </c>
    </row>
    <row r="89" spans="9:10" ht="17.25" x14ac:dyDescent="0.45">
      <c r="I89" s="44" t="s">
        <v>151</v>
      </c>
      <c r="J89" s="41">
        <v>45218</v>
      </c>
    </row>
    <row r="90" spans="9:10" ht="17.25" x14ac:dyDescent="0.45">
      <c r="I90" s="45" t="s">
        <v>14</v>
      </c>
      <c r="J90" s="41">
        <v>45147</v>
      </c>
    </row>
    <row r="91" spans="9:10" ht="17.25" x14ac:dyDescent="0.45">
      <c r="I91" s="46" t="s">
        <v>16</v>
      </c>
      <c r="J91" s="42">
        <v>45148</v>
      </c>
    </row>
    <row r="92" spans="9:10" ht="17.25" x14ac:dyDescent="0.45">
      <c r="I92" s="43" t="s">
        <v>18</v>
      </c>
      <c r="J92" s="41">
        <v>45149</v>
      </c>
    </row>
    <row r="93" spans="9:10" ht="17.25" x14ac:dyDescent="0.45">
      <c r="I93" s="47" t="s">
        <v>20</v>
      </c>
      <c r="J93" s="42">
        <v>45152</v>
      </c>
    </row>
    <row r="94" spans="9:10" ht="17.25" x14ac:dyDescent="0.45">
      <c r="I94" s="43" t="s">
        <v>41</v>
      </c>
      <c r="J94" s="41">
        <v>45153</v>
      </c>
    </row>
    <row r="95" spans="9:10" ht="17.25" x14ac:dyDescent="0.45">
      <c r="I95" s="47" t="s">
        <v>98</v>
      </c>
      <c r="J95" s="42">
        <v>45154</v>
      </c>
    </row>
    <row r="96" spans="9:10" ht="17.25" x14ac:dyDescent="0.45">
      <c r="I96" s="43" t="s">
        <v>100</v>
      </c>
      <c r="J96" s="41">
        <v>45155</v>
      </c>
    </row>
    <row r="97" spans="9:10" ht="17.25" x14ac:dyDescent="0.45">
      <c r="I97" s="47" t="s">
        <v>44</v>
      </c>
      <c r="J97" s="42">
        <v>45156</v>
      </c>
    </row>
    <row r="98" spans="9:10" ht="17.25" x14ac:dyDescent="0.45">
      <c r="I98" s="43" t="s">
        <v>102</v>
      </c>
      <c r="J98" s="41">
        <v>45160</v>
      </c>
    </row>
    <row r="99" spans="9:10" ht="17.25" x14ac:dyDescent="0.45">
      <c r="I99" s="47" t="s">
        <v>45</v>
      </c>
      <c r="J99" s="42">
        <v>45161</v>
      </c>
    </row>
    <row r="100" spans="9:10" ht="17.25" x14ac:dyDescent="0.45">
      <c r="I100" s="43" t="s">
        <v>104</v>
      </c>
      <c r="J100" s="41">
        <v>45162</v>
      </c>
    </row>
    <row r="101" spans="9:10" ht="17.25" x14ac:dyDescent="0.45">
      <c r="I101" s="47" t="s">
        <v>106</v>
      </c>
      <c r="J101" s="42">
        <v>45163</v>
      </c>
    </row>
    <row r="102" spans="9:10" ht="17.25" x14ac:dyDescent="0.45">
      <c r="I102" s="43" t="s">
        <v>48</v>
      </c>
      <c r="J102" s="41">
        <v>45166</v>
      </c>
    </row>
    <row r="103" spans="9:10" ht="17.25" x14ac:dyDescent="0.45">
      <c r="I103" s="47" t="s">
        <v>108</v>
      </c>
      <c r="J103" s="42">
        <v>45167</v>
      </c>
    </row>
    <row r="104" spans="9:10" ht="17.25" x14ac:dyDescent="0.45">
      <c r="I104" s="43" t="s">
        <v>49</v>
      </c>
      <c r="J104" s="41">
        <v>45168</v>
      </c>
    </row>
    <row r="105" spans="9:10" ht="17.25" x14ac:dyDescent="0.45">
      <c r="I105" s="47" t="s">
        <v>110</v>
      </c>
      <c r="J105" s="42">
        <v>45169</v>
      </c>
    </row>
    <row r="106" spans="9:10" ht="17.25" x14ac:dyDescent="0.45">
      <c r="I106" s="43" t="s">
        <v>112</v>
      </c>
      <c r="J106" s="41">
        <v>45170</v>
      </c>
    </row>
    <row r="107" spans="9:10" ht="17.25" x14ac:dyDescent="0.45">
      <c r="I107" s="47" t="s">
        <v>52</v>
      </c>
      <c r="J107" s="42">
        <v>45173</v>
      </c>
    </row>
    <row r="108" spans="9:10" ht="17.25" x14ac:dyDescent="0.45">
      <c r="I108" s="43" t="s">
        <v>114</v>
      </c>
      <c r="J108" s="41">
        <v>45174</v>
      </c>
    </row>
    <row r="109" spans="9:10" ht="17.25" x14ac:dyDescent="0.45">
      <c r="I109" s="47" t="s">
        <v>53</v>
      </c>
      <c r="J109" s="42">
        <v>45175</v>
      </c>
    </row>
    <row r="110" spans="9:10" ht="17.25" x14ac:dyDescent="0.45">
      <c r="I110" s="43" t="s">
        <v>116</v>
      </c>
      <c r="J110" s="41">
        <v>45176</v>
      </c>
    </row>
    <row r="111" spans="9:10" ht="17.25" x14ac:dyDescent="0.45">
      <c r="I111" s="47" t="s">
        <v>118</v>
      </c>
      <c r="J111" s="42">
        <v>45177</v>
      </c>
    </row>
    <row r="112" spans="9:10" ht="17.25" x14ac:dyDescent="0.45">
      <c r="I112" s="43" t="s">
        <v>56</v>
      </c>
      <c r="J112" s="41">
        <v>45180</v>
      </c>
    </row>
    <row r="113" spans="9:10" ht="17.25" x14ac:dyDescent="0.45">
      <c r="I113" s="47" t="s">
        <v>120</v>
      </c>
      <c r="J113" s="42">
        <v>45181</v>
      </c>
    </row>
    <row r="114" spans="9:10" ht="17.25" x14ac:dyDescent="0.45">
      <c r="I114" s="43" t="s">
        <v>57</v>
      </c>
      <c r="J114" s="41">
        <v>45182</v>
      </c>
    </row>
    <row r="115" spans="9:10" ht="17.25" x14ac:dyDescent="0.45">
      <c r="I115" s="45" t="s">
        <v>122</v>
      </c>
      <c r="J115" s="41">
        <v>45183</v>
      </c>
    </row>
    <row r="116" spans="9:10" ht="17.25" x14ac:dyDescent="0.45">
      <c r="I116" s="46" t="s">
        <v>124</v>
      </c>
      <c r="J116" s="42">
        <v>45184</v>
      </c>
    </row>
    <row r="117" spans="9:10" ht="17.25" x14ac:dyDescent="0.45">
      <c r="I117" s="43" t="s">
        <v>60</v>
      </c>
      <c r="J117" s="41">
        <v>45187</v>
      </c>
    </row>
    <row r="118" spans="9:10" ht="17.25" x14ac:dyDescent="0.45">
      <c r="I118" s="47" t="s">
        <v>126</v>
      </c>
      <c r="J118" s="42">
        <v>45188</v>
      </c>
    </row>
    <row r="119" spans="9:10" ht="17.25" x14ac:dyDescent="0.45">
      <c r="I119" s="43" t="s">
        <v>61</v>
      </c>
      <c r="J119" s="41">
        <v>45189</v>
      </c>
    </row>
    <row r="120" spans="9:10" ht="17.25" x14ac:dyDescent="0.45">
      <c r="I120" s="47" t="s">
        <v>128</v>
      </c>
      <c r="J120" s="42">
        <v>45190</v>
      </c>
    </row>
    <row r="121" spans="9:10" ht="17.25" x14ac:dyDescent="0.45">
      <c r="I121" s="43" t="s">
        <v>130</v>
      </c>
      <c r="J121" s="41">
        <v>45191</v>
      </c>
    </row>
    <row r="122" spans="9:10" ht="17.25" x14ac:dyDescent="0.45">
      <c r="I122" s="47" t="s">
        <v>64</v>
      </c>
      <c r="J122" s="42">
        <v>45194</v>
      </c>
    </row>
    <row r="123" spans="9:10" ht="17.25" x14ac:dyDescent="0.45">
      <c r="I123" s="43" t="s">
        <v>132</v>
      </c>
      <c r="J123" s="41">
        <v>45195</v>
      </c>
    </row>
    <row r="124" spans="9:10" ht="17.25" x14ac:dyDescent="0.45">
      <c r="I124" s="47" t="s">
        <v>65</v>
      </c>
      <c r="J124" s="42">
        <v>45196</v>
      </c>
    </row>
    <row r="125" spans="9:10" ht="17.25" x14ac:dyDescent="0.45">
      <c r="I125" s="43" t="s">
        <v>134</v>
      </c>
      <c r="J125" s="41">
        <v>45197</v>
      </c>
    </row>
    <row r="126" spans="9:10" ht="17.25" x14ac:dyDescent="0.45">
      <c r="I126" s="47" t="s">
        <v>136</v>
      </c>
      <c r="J126" s="42">
        <v>45198</v>
      </c>
    </row>
    <row r="127" spans="9:10" ht="17.25" x14ac:dyDescent="0.45">
      <c r="I127" s="43" t="s">
        <v>68</v>
      </c>
      <c r="J127" s="41">
        <v>45201</v>
      </c>
    </row>
    <row r="128" spans="9:10" ht="17.25" x14ac:dyDescent="0.45">
      <c r="I128" s="47" t="s">
        <v>138</v>
      </c>
      <c r="J128" s="42">
        <v>45202</v>
      </c>
    </row>
    <row r="129" spans="9:10" ht="17.25" x14ac:dyDescent="0.45">
      <c r="I129" s="43" t="s">
        <v>69</v>
      </c>
      <c r="J129" s="41">
        <v>45203</v>
      </c>
    </row>
    <row r="130" spans="9:10" ht="17.25" x14ac:dyDescent="0.45">
      <c r="I130" s="47" t="s">
        <v>140</v>
      </c>
      <c r="J130" s="42">
        <v>45204</v>
      </c>
    </row>
    <row r="131" spans="9:10" ht="17.25" x14ac:dyDescent="0.45">
      <c r="I131" s="43" t="s">
        <v>142</v>
      </c>
      <c r="J131" s="41">
        <v>45205</v>
      </c>
    </row>
    <row r="132" spans="9:10" ht="17.25" x14ac:dyDescent="0.45">
      <c r="I132" s="47" t="s">
        <v>72</v>
      </c>
      <c r="J132" s="42">
        <v>45208</v>
      </c>
    </row>
    <row r="133" spans="9:10" ht="17.25" x14ac:dyDescent="0.45">
      <c r="I133" s="43" t="s">
        <v>144</v>
      </c>
      <c r="J133" s="41">
        <v>45209</v>
      </c>
    </row>
    <row r="134" spans="9:10" ht="17.25" x14ac:dyDescent="0.45">
      <c r="I134" s="47" t="s">
        <v>73</v>
      </c>
      <c r="J134" s="42">
        <v>45210</v>
      </c>
    </row>
    <row r="135" spans="9:10" ht="17.25" x14ac:dyDescent="0.45">
      <c r="I135" s="43" t="s">
        <v>146</v>
      </c>
      <c r="J135" s="41">
        <v>45211</v>
      </c>
    </row>
    <row r="136" spans="9:10" ht="17.25" x14ac:dyDescent="0.45">
      <c r="I136" s="47" t="s">
        <v>148</v>
      </c>
      <c r="J136" s="42">
        <v>45212</v>
      </c>
    </row>
    <row r="137" spans="9:10" ht="17.25" x14ac:dyDescent="0.45">
      <c r="I137" s="43" t="s">
        <v>76</v>
      </c>
      <c r="J137" s="41">
        <v>45216</v>
      </c>
    </row>
    <row r="138" spans="9:10" ht="17.25" x14ac:dyDescent="0.45">
      <c r="I138" s="47" t="s">
        <v>150</v>
      </c>
      <c r="J138" s="42">
        <v>45217</v>
      </c>
    </row>
    <row r="139" spans="9:10" ht="17.25" x14ac:dyDescent="0.45">
      <c r="I139" s="43" t="s">
        <v>77</v>
      </c>
      <c r="J139" s="41">
        <v>45218</v>
      </c>
    </row>
  </sheetData>
  <mergeCells count="9">
    <mergeCell ref="A1:M1"/>
    <mergeCell ref="I37:J37"/>
    <mergeCell ref="I14:J15"/>
    <mergeCell ref="I38:I39"/>
    <mergeCell ref="J38:J39"/>
    <mergeCell ref="F14:G15"/>
    <mergeCell ref="I16:J16"/>
    <mergeCell ref="A37:G37"/>
    <mergeCell ref="A14:D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Clientes</vt:lpstr>
      <vt:lpstr>Tabla Vencimiento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Contador_01 Impacto Asesores</dc:creator>
  <cp:lastModifiedBy>Darwin Steven Berrio Alvarez</cp:lastModifiedBy>
  <dcterms:created xsi:type="dcterms:W3CDTF">2023-02-01T20:04:14Z</dcterms:created>
  <dcterms:modified xsi:type="dcterms:W3CDTF">2023-04-06T05:36:08Z</dcterms:modified>
</cp:coreProperties>
</file>