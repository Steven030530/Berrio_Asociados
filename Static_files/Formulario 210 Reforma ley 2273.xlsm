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rwi\Desktop\Page_BerrioA\Static_files\"/>
    </mc:Choice>
  </mc:AlternateContent>
  <xr:revisionPtr revIDLastSave="0" documentId="13_ncr:1_{95D93BC3-DE0F-457A-B0A4-B5CE733261F4}" xr6:coauthVersionLast="47" xr6:coauthVersionMax="47" xr10:uidLastSave="{00000000-0000-0000-0000-000000000000}"/>
  <bookViews>
    <workbookView xWindow="-98" yWindow="-98" windowWidth="22695" windowHeight="14476" firstSheet="1" activeTab="1" xr2:uid="{212CB18D-DA75-4CCA-B0ED-87FE3BE6AE7B}"/>
  </bookViews>
  <sheets>
    <sheet name="Cedula General" sheetId="6" state="hidden" r:id="rId1"/>
    <sheet name="Datos del Contribuyente" sheetId="1" r:id="rId2"/>
    <sheet name="Informacion Exogena" sheetId="20" state="hidden" r:id="rId3"/>
    <sheet name="Nuevo Formulario" sheetId="19" state="hidden" r:id="rId4"/>
    <sheet name="Motor" sheetId="13" state="hidden" r:id="rId5"/>
    <sheet name="Vencimientos" sheetId="17" state="hidden" r:id="rId6"/>
    <sheet name="Formulario" sheetId="15" state="veryHidden" r:id="rId7"/>
    <sheet name="DV" sheetId="16" state="veryHidden" r:id="rId8"/>
    <sheet name="UVT" sheetId="14" state="hidden" r:id="rId9"/>
    <sheet name="Tabla Tarifas" sheetId="12" state="veryHidden" r:id="rId10"/>
    <sheet name="Patrimonio" sheetId="4" state="hidden" r:id="rId11"/>
    <sheet name="Cedula Dividendos" sheetId="9" state="hidden" r:id="rId12"/>
    <sheet name="Ganancia Ocasional" sheetId="11" state="hidden" r:id="rId13"/>
    <sheet name="Cedula Pensiones" sheetId="8" state="hidden" r:id="rId14"/>
    <sheet name="Tipos" sheetId="5" state="hidden" r:id="rId15"/>
    <sheet name="Seccionales" sheetId="3" state="veryHidden" r:id="rId16"/>
  </sheets>
  <functionGroup name="Statistical"/>
  <functionGroup name="Engineering"/>
  <functionGroup name="Commands"/>
  <externalReferences>
    <externalReference r:id="rId17"/>
    <externalReference r:id="rId18"/>
  </externalReferences>
  <definedNames>
    <definedName name="_xlnm._FilterDatabase" localSheetId="2" hidden="1">'Informacion Exogena'!$A$7:$F$58</definedName>
    <definedName name="_xlnm.Print_Area" localSheetId="3">'Nuevo Formulario'!$A$1:$AS$69</definedName>
    <definedName name="DatosExternos_1" localSheetId="15" hidden="1">Seccionales!$A$1:$A$45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2" i="17" l="1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C101" i="17"/>
  <c r="C3" i="17"/>
  <c r="C4" i="17"/>
  <c r="C5" i="17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2" i="17"/>
  <c r="F82" i="13" l="1" a="1"/>
  <c r="F82" i="13" s="1"/>
  <c r="F6" i="13"/>
  <c r="G15" i="13" s="1"/>
  <c r="B11" i="14"/>
  <c r="D10" i="11"/>
  <c r="F41" i="6"/>
  <c r="F42" i="6"/>
  <c r="F43" i="6"/>
  <c r="E41" i="6"/>
  <c r="E42" i="6"/>
  <c r="E43" i="6"/>
  <c r="C11" i="9"/>
  <c r="C12" i="9"/>
  <c r="C13" i="9"/>
  <c r="C14" i="9"/>
  <c r="C10" i="9"/>
  <c r="K19" i="13"/>
  <c r="K20" i="13"/>
  <c r="D13" i="11"/>
  <c r="D14" i="11"/>
  <c r="D15" i="11"/>
  <c r="D16" i="11"/>
  <c r="D17" i="11"/>
  <c r="D18" i="11"/>
  <c r="D19" i="11"/>
  <c r="D20" i="11"/>
  <c r="D12" i="11"/>
  <c r="D11" i="11"/>
  <c r="F89" i="13" l="1"/>
  <c r="F11" i="13"/>
  <c r="F40" i="6"/>
  <c r="E40" i="6"/>
  <c r="F39" i="6"/>
  <c r="E39" i="6"/>
  <c r="F38" i="6"/>
  <c r="E38" i="6"/>
  <c r="F37" i="6"/>
  <c r="E37" i="6"/>
  <c r="F36" i="6"/>
  <c r="E36" i="6"/>
  <c r="F35" i="6"/>
  <c r="E35" i="6"/>
  <c r="F34" i="6"/>
  <c r="E34" i="6"/>
  <c r="F33" i="6"/>
  <c r="E33" i="6"/>
  <c r="F32" i="6"/>
  <c r="E32" i="6"/>
  <c r="F31" i="6"/>
  <c r="E31" i="6"/>
  <c r="F30" i="6"/>
  <c r="E30" i="6"/>
  <c r="F29" i="6"/>
  <c r="E29" i="6"/>
  <c r="F28" i="6"/>
  <c r="E28" i="6"/>
  <c r="F27" i="6"/>
  <c r="E27" i="6"/>
  <c r="F26" i="6"/>
  <c r="E26" i="6"/>
  <c r="F15" i="6"/>
  <c r="F70" i="13"/>
  <c r="F7" i="13" s="1"/>
  <c r="F73" i="13"/>
  <c r="F10" i="13" s="1"/>
  <c r="F71" i="13"/>
  <c r="F8" i="13" s="1"/>
  <c r="G76" i="13"/>
  <c r="F74" i="13"/>
  <c r="J25" i="19" l="1"/>
  <c r="S23" i="19"/>
  <c r="S25" i="19"/>
  <c r="AP33" i="19"/>
  <c r="Y14" i="19"/>
  <c r="P17" i="15"/>
  <c r="K14" i="19"/>
  <c r="P16" i="15"/>
  <c r="G5" i="19"/>
  <c r="H5" i="19"/>
  <c r="F5" i="19"/>
  <c r="E5" i="19"/>
  <c r="K28" i="13"/>
  <c r="K29" i="13"/>
  <c r="AM25" i="15" s="1"/>
  <c r="K30" i="13"/>
  <c r="AM23" i="15" s="1"/>
  <c r="K27" i="13"/>
  <c r="O40" i="19" l="1"/>
  <c r="O44" i="19"/>
  <c r="O43" i="19"/>
  <c r="O41" i="19"/>
  <c r="AM26" i="15"/>
  <c r="AM22" i="15"/>
  <c r="P18" i="15"/>
  <c r="AL14" i="19"/>
  <c r="K31" i="13"/>
  <c r="P47" i="15"/>
  <c r="P52" i="15" s="1"/>
  <c r="K60" i="13" a="1"/>
  <c r="K60" i="13" s="1"/>
  <c r="K61" i="13" s="1"/>
  <c r="K55" i="13"/>
  <c r="D10" i="8"/>
  <c r="F12" i="6"/>
  <c r="F14" i="6"/>
  <c r="B49" i="13"/>
  <c r="F10" i="6"/>
  <c r="F11" i="6"/>
  <c r="F13" i="6"/>
  <c r="E10" i="6"/>
  <c r="E11" i="6"/>
  <c r="E12" i="6"/>
  <c r="E13" i="6"/>
  <c r="E14" i="6"/>
  <c r="B16" i="13"/>
  <c r="B77" i="13"/>
  <c r="B66" i="13"/>
  <c r="O42" i="19" l="1"/>
  <c r="F65" i="13"/>
  <c r="S16" i="19" s="1"/>
  <c r="AQ42" i="19"/>
  <c r="AQ43" i="19" s="1"/>
  <c r="AM40" i="15"/>
  <c r="AM42" i="15" s="1"/>
  <c r="F50" i="13"/>
  <c r="K46" i="13"/>
  <c r="H5" i="15" l="1"/>
  <c r="G5" i="15"/>
  <c r="F5" i="15"/>
  <c r="E5" i="15"/>
  <c r="K45" i="13" l="1"/>
  <c r="AM24" i="15"/>
  <c r="C15" i="9"/>
  <c r="C16" i="9"/>
  <c r="C17" i="9"/>
  <c r="C18" i="9"/>
  <c r="C19" i="9"/>
  <c r="C20" i="9"/>
  <c r="K53" i="13" l="1"/>
  <c r="O36" i="19" l="1"/>
  <c r="AM18" i="15"/>
  <c r="O35" i="19"/>
  <c r="AM17" i="15"/>
  <c r="K21" i="13"/>
  <c r="L11" i="13"/>
  <c r="AM19" i="15" l="1"/>
  <c r="O37" i="19"/>
  <c r="G37" i="13" l="1"/>
  <c r="G26" i="13"/>
  <c r="F16" i="6"/>
  <c r="F17" i="6"/>
  <c r="F18" i="6"/>
  <c r="F19" i="6"/>
  <c r="F20" i="6"/>
  <c r="F21" i="6"/>
  <c r="F22" i="6"/>
  <c r="F23" i="6"/>
  <c r="F24" i="6"/>
  <c r="F25" i="6"/>
  <c r="K56" i="13" l="1"/>
  <c r="K36" i="13"/>
  <c r="K35" i="13"/>
  <c r="K38" i="13" s="1"/>
  <c r="B24" i="13"/>
  <c r="B21" i="13"/>
  <c r="B23" i="13"/>
  <c r="B22" i="13"/>
  <c r="B26" i="13"/>
  <c r="K37" i="13" l="1"/>
  <c r="O50" i="19"/>
  <c r="AM30" i="15"/>
  <c r="AM49" i="15"/>
  <c r="F57" i="13" s="1"/>
  <c r="AL50" i="19"/>
  <c r="O47" i="19"/>
  <c r="AM29" i="15"/>
  <c r="K39" i="13"/>
  <c r="K40" i="13"/>
  <c r="K41" i="13"/>
  <c r="B8" i="13"/>
  <c r="B17" i="13" s="1"/>
  <c r="B19" i="13" s="1"/>
  <c r="B12" i="13"/>
  <c r="B11" i="13"/>
  <c r="B10" i="13"/>
  <c r="B25" i="13" s="1"/>
  <c r="B27" i="13" s="1"/>
  <c r="B9" i="13"/>
  <c r="AL48" i="19" l="1"/>
  <c r="AM47" i="15"/>
  <c r="F52" i="13"/>
  <c r="AM48" i="15"/>
  <c r="AL49" i="19"/>
  <c r="B40" i="13"/>
  <c r="AM31" i="15"/>
  <c r="AM32" i="15" s="1"/>
  <c r="O51" i="19"/>
  <c r="AL35" i="19" s="1"/>
  <c r="B29" i="13"/>
  <c r="B31" i="13"/>
  <c r="F43" i="13" s="1"/>
  <c r="B35" i="13"/>
  <c r="B37" i="13" s="1"/>
  <c r="K42" i="13"/>
  <c r="K50" i="13" s="1"/>
  <c r="K54" i="13" s="1"/>
  <c r="B6" i="13"/>
  <c r="B2" i="13"/>
  <c r="B5" i="13"/>
  <c r="AO14" i="15" s="1"/>
  <c r="B4" i="13"/>
  <c r="B48" i="13" l="1"/>
  <c r="AE8" i="19"/>
  <c r="L13" i="19"/>
  <c r="K13" i="19"/>
  <c r="J13" i="19"/>
  <c r="I13" i="19"/>
  <c r="AT2" i="15"/>
  <c r="Q34" i="19"/>
  <c r="P53" i="15"/>
  <c r="R12" i="15"/>
  <c r="R11" i="19"/>
  <c r="O11" i="19"/>
  <c r="K11" i="19"/>
  <c r="G11" i="19"/>
  <c r="C11" i="19"/>
  <c r="N11" i="19"/>
  <c r="F11" i="19"/>
  <c r="M11" i="19"/>
  <c r="E11" i="19"/>
  <c r="L11" i="19"/>
  <c r="H11" i="19"/>
  <c r="D11" i="19"/>
  <c r="J11" i="19"/>
  <c r="I11" i="19"/>
  <c r="C26" i="4"/>
  <c r="A2" i="16"/>
  <c r="C2" i="16" s="1"/>
  <c r="B2" i="16" s="1"/>
  <c r="B3" i="13" s="1"/>
  <c r="L15" i="15"/>
  <c r="K15" i="15"/>
  <c r="J15" i="15"/>
  <c r="I15" i="15"/>
  <c r="M12" i="15"/>
  <c r="I12" i="15"/>
  <c r="E12" i="15"/>
  <c r="L12" i="15"/>
  <c r="H12" i="15"/>
  <c r="O12" i="15"/>
  <c r="K12" i="15"/>
  <c r="G12" i="15"/>
  <c r="C12" i="15"/>
  <c r="N12" i="15"/>
  <c r="J12" i="15"/>
  <c r="F12" i="15"/>
  <c r="D12" i="15"/>
  <c r="AL45" i="19" l="1"/>
  <c r="AM44" i="15"/>
  <c r="Q12" i="15"/>
  <c r="Q11" i="19"/>
  <c r="B57" i="13"/>
  <c r="B58" i="13" s="1"/>
  <c r="D20" i="8"/>
  <c r="D19" i="8"/>
  <c r="D18" i="8"/>
  <c r="D17" i="8"/>
  <c r="D16" i="8"/>
  <c r="D15" i="8"/>
  <c r="D14" i="8"/>
  <c r="D13" i="8"/>
  <c r="D12" i="8"/>
  <c r="D11" i="8"/>
  <c r="B50" i="13" l="1"/>
  <c r="B62" i="13"/>
  <c r="B63" i="13" s="1"/>
  <c r="B73" i="13"/>
  <c r="B74" i="13" s="1"/>
  <c r="K22" i="13"/>
  <c r="E25" i="6"/>
  <c r="E24" i="6"/>
  <c r="E23" i="6"/>
  <c r="E22" i="6"/>
  <c r="E21" i="6"/>
  <c r="E20" i="6"/>
  <c r="E19" i="6"/>
  <c r="E18" i="6"/>
  <c r="E17" i="6"/>
  <c r="E16" i="6"/>
  <c r="E15" i="6"/>
  <c r="F25" i="13" l="1"/>
  <c r="F9" i="13"/>
  <c r="F24" i="13"/>
  <c r="F4" i="13"/>
  <c r="P21" i="15" s="1"/>
  <c r="F22" i="13"/>
  <c r="F21" i="13"/>
  <c r="F36" i="13"/>
  <c r="F33" i="13"/>
  <c r="F3" i="13"/>
  <c r="J18" i="19" s="1"/>
  <c r="F32" i="13"/>
  <c r="AM16" i="19" s="1"/>
  <c r="F2" i="13"/>
  <c r="F35" i="13"/>
  <c r="AM19" i="19" s="1"/>
  <c r="F72" i="13"/>
  <c r="S22" i="19" s="1"/>
  <c r="S24" i="19" s="1"/>
  <c r="F66" i="13"/>
  <c r="S18" i="19" s="1"/>
  <c r="F67" i="13"/>
  <c r="S19" i="19" s="1"/>
  <c r="AM20" i="15"/>
  <c r="AM21" i="15" s="1"/>
  <c r="O38" i="19"/>
  <c r="O39" i="19" s="1"/>
  <c r="K23" i="13"/>
  <c r="I13" i="12" s="1"/>
  <c r="F69" i="13" l="1"/>
  <c r="S26" i="19" s="1"/>
  <c r="J16" i="19"/>
  <c r="J20" i="19" s="1"/>
  <c r="S20" i="19"/>
  <c r="F68" i="13"/>
  <c r="AG18" i="19"/>
  <c r="P27" i="15"/>
  <c r="P37" i="15"/>
  <c r="P19" i="15"/>
  <c r="AG27" i="19"/>
  <c r="P31" i="15"/>
  <c r="B41" i="13"/>
  <c r="B43" i="13" s="1"/>
  <c r="B44" i="13" s="1"/>
  <c r="J22" i="19"/>
  <c r="P20" i="15"/>
  <c r="P43" i="15"/>
  <c r="AM27" i="19"/>
  <c r="AG19" i="19"/>
  <c r="P28" i="15"/>
  <c r="AM18" i="19"/>
  <c r="P39" i="15"/>
  <c r="AG16" i="19"/>
  <c r="P26" i="15"/>
  <c r="P40" i="15"/>
  <c r="F19" i="12"/>
  <c r="F15" i="12"/>
  <c r="F18" i="12"/>
  <c r="F14" i="12"/>
  <c r="G14" i="12" s="1"/>
  <c r="F17" i="12"/>
  <c r="F20" i="12"/>
  <c r="G20" i="12" s="1"/>
  <c r="F16" i="12"/>
  <c r="F5" i="13"/>
  <c r="F12" i="13" s="1"/>
  <c r="L2" i="13"/>
  <c r="L3" i="13" s="1"/>
  <c r="L6" i="13" s="1"/>
  <c r="F34" i="13"/>
  <c r="F23" i="13"/>
  <c r="J26" i="19" l="1"/>
  <c r="P29" i="15"/>
  <c r="P41" i="15"/>
  <c r="AG20" i="19"/>
  <c r="AM20" i="19"/>
  <c r="P22" i="15"/>
  <c r="AM16" i="15"/>
  <c r="AP34" i="19"/>
  <c r="I23" i="12"/>
  <c r="L10" i="13"/>
  <c r="L4" i="13"/>
  <c r="F26" i="13"/>
  <c r="L8" i="13"/>
  <c r="L9" i="13"/>
  <c r="L7" i="13"/>
  <c r="L5" i="13"/>
  <c r="F37" i="13"/>
  <c r="H33" i="19" l="1"/>
  <c r="P44" i="15"/>
  <c r="AM28" i="19"/>
  <c r="AM30" i="19" s="1"/>
  <c r="P32" i="15"/>
  <c r="P33" i="15" s="1"/>
  <c r="AG28" i="19"/>
  <c r="F27" i="12"/>
  <c r="F24" i="12"/>
  <c r="G24" i="12" s="1"/>
  <c r="F30" i="12"/>
  <c r="G30" i="12" s="1"/>
  <c r="F25" i="12"/>
  <c r="G25" i="12" s="1"/>
  <c r="F29" i="12"/>
  <c r="F26" i="12"/>
  <c r="F28" i="12"/>
  <c r="H26" i="13"/>
  <c r="H27" i="13" s="1"/>
  <c r="H37" i="13"/>
  <c r="H38" i="13" s="1"/>
  <c r="H45" i="13" s="1"/>
  <c r="L12" i="13"/>
  <c r="L13" i="13" s="1"/>
  <c r="P36" i="15" l="1"/>
  <c r="P34" i="15"/>
  <c r="AG30" i="19"/>
  <c r="AG29" i="19"/>
  <c r="AG32" i="19" s="1"/>
  <c r="AM29" i="19"/>
  <c r="AM32" i="19" s="1"/>
  <c r="F13" i="13"/>
  <c r="P46" i="15"/>
  <c r="P45" i="15"/>
  <c r="P48" i="15" s="1"/>
  <c r="F15" i="13" l="1"/>
  <c r="H15" i="13" s="1"/>
  <c r="F14" i="13"/>
  <c r="J27" i="19" s="1"/>
  <c r="P49" i="15"/>
  <c r="G19" i="12" l="1"/>
  <c r="G15" i="12"/>
  <c r="G27" i="12"/>
  <c r="G28" i="12"/>
  <c r="G26" i="12"/>
  <c r="G16" i="12"/>
  <c r="G17" i="12"/>
  <c r="G18" i="12"/>
  <c r="G29" i="12"/>
  <c r="I14" i="12" l="1"/>
  <c r="I24" i="12"/>
  <c r="B45" i="13" s="1"/>
  <c r="F75" i="13" l="1"/>
  <c r="J23" i="19" l="1"/>
  <c r="J24" i="19" s="1"/>
  <c r="S27" i="19"/>
  <c r="F76" i="13"/>
  <c r="S28" i="19" s="1"/>
  <c r="P23" i="15" l="1"/>
  <c r="J28" i="19"/>
  <c r="S29" i="19"/>
  <c r="S32" i="19" s="1"/>
  <c r="S30" i="19"/>
  <c r="H76" i="13"/>
  <c r="H77" i="13" s="1"/>
  <c r="P24" i="15" l="1"/>
  <c r="H16" i="13" l="1"/>
  <c r="I1" i="12" s="1"/>
  <c r="Q33" i="19"/>
  <c r="AE33" i="19" s="1"/>
  <c r="AE34" i="19" s="1"/>
  <c r="AL37" i="19" s="1"/>
  <c r="P25" i="15"/>
  <c r="P50" i="15"/>
  <c r="P51" i="15" s="1"/>
  <c r="P54" i="15" s="1"/>
  <c r="AM34" i="15" s="1"/>
  <c r="J32" i="19"/>
  <c r="F5" i="12" l="1"/>
  <c r="G5" i="12" s="1"/>
  <c r="F4" i="12"/>
  <c r="G4" i="12" s="1"/>
  <c r="F3" i="12"/>
  <c r="G3" i="12" s="1"/>
  <c r="F6" i="12"/>
  <c r="G6" i="12" s="1"/>
  <c r="F8" i="12"/>
  <c r="G8" i="12" s="1"/>
  <c r="F2" i="12"/>
  <c r="G2" i="12" s="1"/>
  <c r="F7" i="12"/>
  <c r="G7" i="12" s="1"/>
  <c r="I2" i="12" l="1"/>
  <c r="AL36" i="19" s="1"/>
  <c r="AL41" i="19" s="1"/>
  <c r="AL44" i="19" s="1"/>
  <c r="AL47" i="19" s="1"/>
  <c r="AM33" i="15" l="1"/>
  <c r="AM38" i="15" s="1"/>
  <c r="AM43" i="15" s="1"/>
  <c r="AM46" i="15" s="1"/>
  <c r="F51" i="13" l="1"/>
  <c r="F53" i="13" s="1"/>
  <c r="F54" i="13" s="1"/>
  <c r="B52" i="13"/>
  <c r="F56" i="13"/>
  <c r="F58" i="13" s="1"/>
  <c r="F59" i="13" s="1"/>
  <c r="F61" i="13" l="1"/>
  <c r="AL51" i="19" s="1"/>
  <c r="F52" i="19" s="1"/>
  <c r="B53" i="13"/>
  <c r="B61" i="13" s="1"/>
  <c r="B64" i="13" s="1"/>
  <c r="B56" i="13"/>
  <c r="B59" i="13" s="1"/>
  <c r="AM50" i="15" l="1"/>
  <c r="AM51" i="15" s="1"/>
  <c r="B54" i="13"/>
  <c r="B72" i="13" s="1"/>
  <c r="B75" i="13" s="1"/>
  <c r="AM54" i="15" l="1"/>
  <c r="B76" i="13" s="1"/>
  <c r="B78" i="13" s="1"/>
  <c r="B79" i="13" s="1"/>
  <c r="B65" i="13" l="1"/>
  <c r="B67" i="13" s="1"/>
  <c r="B68" i="13" s="1"/>
  <c r="B82" i="13" s="1"/>
  <c r="B83" i="13" s="1"/>
  <c r="B84" i="13" s="1"/>
  <c r="AM52" i="15" s="1"/>
  <c r="AM53" i="15" s="1"/>
  <c r="AL57" i="15" s="1"/>
  <c r="R52" i="19" l="1"/>
  <c r="AF52" i="19" l="1"/>
  <c r="AK63" i="19" s="1"/>
  <c r="AP52" i="1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69A48FE-364B-43F1-8727-70EA4010C156}" keepAlive="1" name="Consulta - Table 0" description="Conexión a la consulta 'Table 0' en el libro." type="5" refreshedVersion="6" background="1" saveData="1">
    <dbPr connection="Provider=Microsoft.Mashup.OleDb.1;Data Source=$Workbook$;Location=Table 0;Extended Properties=&quot;&quot;" command="SELECT * FROM [Table 0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<sst xmlns="http://schemas.openxmlformats.org/spreadsheetml/2006/main" count="836" uniqueCount="588">
  <si>
    <t>IDENTIFICACION :</t>
  </si>
  <si>
    <t>NOMBRE COMPLETO:</t>
  </si>
  <si>
    <t>SECCIONAL DIAN:</t>
  </si>
  <si>
    <t>Dirección Seccional de Impuestos y Aduanas de Armenia</t>
  </si>
  <si>
    <t>Dirección Seccional de Impuestos de Barranquilla</t>
  </si>
  <si>
    <t>Dirección Seccional de Impuestos y Aduanas de Bucaramanga</t>
  </si>
  <si>
    <t>Dirección Seccional de Impuestos de Cali</t>
  </si>
  <si>
    <t>Dirección Seccional de Impuestos de Cartagena</t>
  </si>
  <si>
    <t>Dirección Seccional de Impuestos de Cúcuta</t>
  </si>
  <si>
    <t>Dirección Seccional de Impuestos y Aduanas de Girardot</t>
  </si>
  <si>
    <t>Dirección Seccional de Impuestos y Aduanas de Ibagué</t>
  </si>
  <si>
    <t>Dirección Seccional de Impuestos y Aduanas de Manizales</t>
  </si>
  <si>
    <t>Dirección Seccional de Impuestos de Medellín</t>
  </si>
  <si>
    <t>Dirección Seccional de Impuestos y Aduanas de Montería</t>
  </si>
  <si>
    <t>Dirección Seccional de Impuestos y Aduanas de Neiva</t>
  </si>
  <si>
    <t>Dirección Seccional de Impuestos y Aduanas de Pasto</t>
  </si>
  <si>
    <t>Dirección Seccional de Impuestos y Aduanas de Palmira</t>
  </si>
  <si>
    <t>Dirección Seccional de Impuestos y Aduanas de Pereira</t>
  </si>
  <si>
    <t>Dirección Seccional de Impuestos y Aduanas de Popayán</t>
  </si>
  <si>
    <t>Dirección Seccional de Impuestos y Aduanas de Quibdó</t>
  </si>
  <si>
    <t>Dirección Seccional de Impuestos y Aduanas de Santa Marta</t>
  </si>
  <si>
    <t>Dirección Seccional de Impuestos y Aduanas de Tunja</t>
  </si>
  <si>
    <t>Dirección Seccional de Impuestos y Aduanas de Tuluá</t>
  </si>
  <si>
    <t>Dirección Seccional de Impuestos y Aduanas de Villavicencio</t>
  </si>
  <si>
    <t>Dirección Seccional de Impuestos y Aduanas de Sincelejo</t>
  </si>
  <si>
    <t>Dirección Seccional de Impuestos y Aduanas de Valledupar</t>
  </si>
  <si>
    <t>Dirección Seccional de Impuestos y Aduanas de Riohacha</t>
  </si>
  <si>
    <t>Dirección Seccional de Impuestos y Aduanas de Sogamoso</t>
  </si>
  <si>
    <t>Dirección Seccional de Impuestos y Aduanas de San Andrés</t>
  </si>
  <si>
    <t>Dirección Seccional de Impuestos y Aduanas de Florencia</t>
  </si>
  <si>
    <t>Dirección Seccional de Impuestos y Aduanas de Barrancabermeja</t>
  </si>
  <si>
    <t>Dirección Seccional de Impuestos de Bogotá</t>
  </si>
  <si>
    <t>Dirección Seccional de Impuestos y Aduanas de Arauca</t>
  </si>
  <si>
    <t>Dirección Seccional de Impuestos y Aduanas de Buenaventura</t>
  </si>
  <si>
    <t>Dirección Seccional Delegada de Impuestos y Aduanas de Cartago</t>
  </si>
  <si>
    <t>Dirección Seccional de Impuestos y Aduanas de Ipiales</t>
  </si>
  <si>
    <t>Dirección Seccional de Impuestos y Aduanas de Leticia</t>
  </si>
  <si>
    <t>Dirección Seccional de Impuestos y Aduanas de Maicao</t>
  </si>
  <si>
    <t>Dirección Seccional Delegada de Impuestos y Aduanas de Tumaco</t>
  </si>
  <si>
    <t>Dirección Seccional de Impuestos y Aduanas de Urabá</t>
  </si>
  <si>
    <t>Dirección Seccional Delegada de Impuestos y Aduanas de Puerto Carreño</t>
  </si>
  <si>
    <t>Dirección Seccional Delegada de Impuestos y Aduanas de Inírida</t>
  </si>
  <si>
    <t>Dirección Seccional de Impuestos y Aduanas de Yopal</t>
  </si>
  <si>
    <t>Dirección Seccional Delegada de Impuestos y Aduanas Mitú</t>
  </si>
  <si>
    <t>Dirección Seccional Delegada de Impuestos y Aduanas de Puerto Asís</t>
  </si>
  <si>
    <t>Dirección Seccional Delegada de Impuestos y Aduanas de San José de Guaviare</t>
  </si>
  <si>
    <t>Dirección Seccional Delegada de Impuestos y Aduanas de Pamplona</t>
  </si>
  <si>
    <t>Codigo</t>
  </si>
  <si>
    <t>Seccional</t>
  </si>
  <si>
    <t>Ciudad</t>
  </si>
  <si>
    <t>Armenia</t>
  </si>
  <si>
    <t>Barranquilla</t>
  </si>
  <si>
    <t>Bogota</t>
  </si>
  <si>
    <t>Bucaramanga</t>
  </si>
  <si>
    <t>Cali</t>
  </si>
  <si>
    <t>Cartagena</t>
  </si>
  <si>
    <t>Cucuta</t>
  </si>
  <si>
    <t>Girardot</t>
  </si>
  <si>
    <t>Ibague</t>
  </si>
  <si>
    <t>Manizales</t>
  </si>
  <si>
    <t>Medellin</t>
  </si>
  <si>
    <t>Monteria</t>
  </si>
  <si>
    <t>Neiva</t>
  </si>
  <si>
    <t>Pasto</t>
  </si>
  <si>
    <t>Palmira</t>
  </si>
  <si>
    <t>Pereira</t>
  </si>
  <si>
    <t>Popayan</t>
  </si>
  <si>
    <t>Quibdo</t>
  </si>
  <si>
    <t>Santa Marta</t>
  </si>
  <si>
    <t>Tunja</t>
  </si>
  <si>
    <t>Tulua</t>
  </si>
  <si>
    <t>Villavicencio</t>
  </si>
  <si>
    <t>Sincelejo</t>
  </si>
  <si>
    <t>Valledupar</t>
  </si>
  <si>
    <t>Riohacha</t>
  </si>
  <si>
    <t>Sogamoso</t>
  </si>
  <si>
    <t>San Andres</t>
  </si>
  <si>
    <t>Florencia</t>
  </si>
  <si>
    <t>Barrancabermeja</t>
  </si>
  <si>
    <t>Arauca</t>
  </si>
  <si>
    <t>Buenaventura</t>
  </si>
  <si>
    <t>Cartago</t>
  </si>
  <si>
    <t>Ipiales</t>
  </si>
  <si>
    <t>Leticia</t>
  </si>
  <si>
    <t>Maicao</t>
  </si>
  <si>
    <t>Tumaco</t>
  </si>
  <si>
    <t>Uraba</t>
  </si>
  <si>
    <t>Puerto Carreño</t>
  </si>
  <si>
    <t>Inirida</t>
  </si>
  <si>
    <t>Yopal</t>
  </si>
  <si>
    <t>Mitu</t>
  </si>
  <si>
    <t>Puerto Asis</t>
  </si>
  <si>
    <t>Guaviare</t>
  </si>
  <si>
    <t>Pamplona</t>
  </si>
  <si>
    <t>ACTIVIDAD ECONOMICA:</t>
  </si>
  <si>
    <t>Tipo de Activo</t>
  </si>
  <si>
    <t>Entidad</t>
  </si>
  <si>
    <t xml:space="preserve">Descripcion </t>
  </si>
  <si>
    <t>Tipo de Deuda</t>
  </si>
  <si>
    <t>Saldo al 31 Diciembre</t>
  </si>
  <si>
    <t>Casa Habitacion</t>
  </si>
  <si>
    <t>Tipo de Activos</t>
  </si>
  <si>
    <t>Tipo Deuda</t>
  </si>
  <si>
    <t>Acciones</t>
  </si>
  <si>
    <t>Credito Hipotecario</t>
  </si>
  <si>
    <t>Credito de Consumo</t>
  </si>
  <si>
    <t xml:space="preserve">CDT </t>
  </si>
  <si>
    <t>Cuenta por Pagar Tercero</t>
  </si>
  <si>
    <t xml:space="preserve">Cuenta AFC </t>
  </si>
  <si>
    <t>Leasing Habitacional</t>
  </si>
  <si>
    <t>Cuenta Corriente</t>
  </si>
  <si>
    <t>Credito Vehicular</t>
  </si>
  <si>
    <t>Cuenta de Ahorros</t>
  </si>
  <si>
    <t>Tarjeta de Credito</t>
  </si>
  <si>
    <t>Cuenta por Cobrar</t>
  </si>
  <si>
    <t>Efectivo</t>
  </si>
  <si>
    <t>Fondos</t>
  </si>
  <si>
    <t>Otros Activos</t>
  </si>
  <si>
    <t>Otros Inmuebles</t>
  </si>
  <si>
    <t>Vehiculo</t>
  </si>
  <si>
    <t xml:space="preserve"> Aportes obligatorios por salud</t>
  </si>
  <si>
    <t>Rendimientos Financieros</t>
  </si>
  <si>
    <t>Regalias</t>
  </si>
  <si>
    <t xml:space="preserve">Explotacion de Propiedad Intelectual </t>
  </si>
  <si>
    <t>Ingresos Venta de Bienes o Servicios con 2 Empleados</t>
  </si>
  <si>
    <t>Costos Asociados a los Ingresos</t>
  </si>
  <si>
    <t>Tipo de Renta</t>
  </si>
  <si>
    <t>Renta de Trabajo</t>
  </si>
  <si>
    <t>Renta de Capital</t>
  </si>
  <si>
    <t>Renta No Laboral</t>
  </si>
  <si>
    <t>Impuesto Predial de los Bienes en Arrendamiento</t>
  </si>
  <si>
    <t>Costo Mantenimiento y Reparaciones Locativas Bienes en Arrendamiento</t>
  </si>
  <si>
    <t>Tipo</t>
  </si>
  <si>
    <t>Descripcion</t>
  </si>
  <si>
    <t>Valor</t>
  </si>
  <si>
    <t>DEDUCCIONES Y RENTAS EXENTAS</t>
  </si>
  <si>
    <t>Cedula de Pensiones</t>
  </si>
  <si>
    <t>Cedula Dividendos y Participaciones</t>
  </si>
  <si>
    <t>Tipo Pensiones</t>
  </si>
  <si>
    <t>Tipo de General</t>
  </si>
  <si>
    <t>Renta de Pensiones</t>
  </si>
  <si>
    <t>Tipo Dividendos</t>
  </si>
  <si>
    <t>Loterias</t>
  </si>
  <si>
    <t>Rifas, apuestas y similares</t>
  </si>
  <si>
    <t>Herencias, legados y donaciones</t>
  </si>
  <si>
    <t>Venta de activos fijos por mas de dos años</t>
  </si>
  <si>
    <t>Utilidad en liquidacion de sociedades</t>
  </si>
  <si>
    <t>Gananciales</t>
  </si>
  <si>
    <t>Otros</t>
  </si>
  <si>
    <t>Tipo Ganancia Ocasional</t>
  </si>
  <si>
    <t xml:space="preserve">Costo fiscal de los activos enajenados </t>
  </si>
  <si>
    <t>Costo por ganancias ocasionales</t>
  </si>
  <si>
    <t>Otros Costos</t>
  </si>
  <si>
    <t xml:space="preserve"> RENTAS EXENTAS</t>
  </si>
  <si>
    <t>Ganancias Ocasionales</t>
  </si>
  <si>
    <t>Entidad o Propietario</t>
  </si>
  <si>
    <t>Tabla</t>
  </si>
  <si>
    <t xml:space="preserve">Ley </t>
  </si>
  <si>
    <t>Rango Minimo</t>
  </si>
  <si>
    <t>Rango Maximo</t>
  </si>
  <si>
    <t>Tarifa</t>
  </si>
  <si>
    <t>Impuesto</t>
  </si>
  <si>
    <t>Valor UVT</t>
  </si>
  <si>
    <t>DESCUENTOS TRIBUTARIOS</t>
  </si>
  <si>
    <t>Ingreso Clase</t>
  </si>
  <si>
    <t>Ingreso gravado</t>
  </si>
  <si>
    <t>INCR</t>
  </si>
  <si>
    <t>Renta Exenta</t>
  </si>
  <si>
    <t>Retencion</t>
  </si>
  <si>
    <t>Costo</t>
  </si>
  <si>
    <t xml:space="preserve">Retiro Cuentas AFC o Fondos de Pensiones Voluntarios Sin los Beneficios de Ley </t>
  </si>
  <si>
    <t>NIT</t>
  </si>
  <si>
    <t>NOMBRE COMPLETO</t>
  </si>
  <si>
    <t>DV</t>
  </si>
  <si>
    <t>SECCIONAL</t>
  </si>
  <si>
    <t>ACTIVIDAD ECONOMICA</t>
  </si>
  <si>
    <t>01</t>
  </si>
  <si>
    <t>02</t>
  </si>
  <si>
    <t>04</t>
  </si>
  <si>
    <t>05</t>
  </si>
  <si>
    <t>06</t>
  </si>
  <si>
    <t>07</t>
  </si>
  <si>
    <t>08</t>
  </si>
  <si>
    <t>09</t>
  </si>
  <si>
    <t>PATRIMONIO LIQUIDO AÑO ANT</t>
  </si>
  <si>
    <t>PATRIMONIO BRUTO AÑO ANT</t>
  </si>
  <si>
    <t>SALDO A FAVOR SIN SOLICITUD</t>
  </si>
  <si>
    <t>ANTICIPO DE RENTA AÑO ANT</t>
  </si>
  <si>
    <t>CONCILIACION PATRIMONIAL</t>
  </si>
  <si>
    <t>Valor de Compra o Avaluo Catastral</t>
  </si>
  <si>
    <t>PATRIMONIO LIQUIDO AÑO ACT</t>
  </si>
  <si>
    <t>INCREMENTO O (DISMINUCION)</t>
  </si>
  <si>
    <t>RENTA GRAVABLE</t>
  </si>
  <si>
    <t xml:space="preserve">RENTAS EXENTAS </t>
  </si>
  <si>
    <t>GANANCIA OCASIONAL NETA</t>
  </si>
  <si>
    <t>IMPUESTO DE RENTA PAGADO</t>
  </si>
  <si>
    <t xml:space="preserve">REAJUSTES FISCALES </t>
  </si>
  <si>
    <t>Reajuste Fiscal y Valorizaciones</t>
  </si>
  <si>
    <t>IMPUESTO PAGADO AÑO ANT</t>
  </si>
  <si>
    <t>Ganancia Gravada</t>
  </si>
  <si>
    <t>Costo Ganancia Gravada</t>
  </si>
  <si>
    <t>Tipo Renta</t>
  </si>
  <si>
    <t>Ingreso</t>
  </si>
  <si>
    <t>INGRESOS NETOS</t>
  </si>
  <si>
    <t>DIFERENCIA PATRIMONIAL</t>
  </si>
  <si>
    <t xml:space="preserve">DATOS </t>
  </si>
  <si>
    <t>RENTAS DE TRABAJO</t>
  </si>
  <si>
    <t>Ingresos Gravados</t>
  </si>
  <si>
    <t>Renta Liquida</t>
  </si>
  <si>
    <t>Dependientes</t>
  </si>
  <si>
    <t>Intereses Hipotecarios</t>
  </si>
  <si>
    <t>Medicina Prepagada</t>
  </si>
  <si>
    <t xml:space="preserve">25% Renta Exenta </t>
  </si>
  <si>
    <t xml:space="preserve">Cesantias e Intereses </t>
  </si>
  <si>
    <t>Rentas Exentas Imputables</t>
  </si>
  <si>
    <t>Rentas Exentas Limitadas</t>
  </si>
  <si>
    <t>Base Renta de Trabajo</t>
  </si>
  <si>
    <t>RENTAS DE CAPITAL</t>
  </si>
  <si>
    <t>Costos y Gastos Asociados</t>
  </si>
  <si>
    <t>Base Renta de Capital</t>
  </si>
  <si>
    <t>RENTAS NO LABORALES</t>
  </si>
  <si>
    <t>Rentas Exentas No Laborales</t>
  </si>
  <si>
    <t>Base Renta No Laboral</t>
  </si>
  <si>
    <t>Aportes Seguridad Social por Ingresos de Capital</t>
  </si>
  <si>
    <t>Compensacion por perdidas de Ejercicios Anteriores</t>
  </si>
  <si>
    <t>Activos omitidos y/o Pasivos inexistentes</t>
  </si>
  <si>
    <t>Recuperacion de deducciones</t>
  </si>
  <si>
    <t>Renta por Comparacion patrimonial</t>
  </si>
  <si>
    <t>Aportes AFC y Aportes Voluntarios de Pension</t>
  </si>
  <si>
    <t>Cesantias e Intereses a las Cesantias</t>
  </si>
  <si>
    <t>Año</t>
  </si>
  <si>
    <t>UVT</t>
  </si>
  <si>
    <t>Año a Declarar</t>
  </si>
  <si>
    <t>UVT a Declarar</t>
  </si>
  <si>
    <t>Valor Deducible</t>
  </si>
  <si>
    <t>GMF</t>
  </si>
  <si>
    <t>CESANTIAS E INTERESES EXENTOS</t>
  </si>
  <si>
    <t xml:space="preserve">Ingreso Promedio </t>
  </si>
  <si>
    <t>Ingreso Promedio UVT</t>
  </si>
  <si>
    <t>Minimo</t>
  </si>
  <si>
    <t>Maximo</t>
  </si>
  <si>
    <t>Exento</t>
  </si>
  <si>
    <t>Porcentaje Exento</t>
  </si>
  <si>
    <t>Cesantias e Intereses Exentos</t>
  </si>
  <si>
    <t>Rentas Exentas Capital Imputables</t>
  </si>
  <si>
    <t>Rentas Exentas Capital Limitadas</t>
  </si>
  <si>
    <t>Rentas Exentas No Laborales Imputables</t>
  </si>
  <si>
    <t>Rentas Exentas No Laborales Limitadas</t>
  </si>
  <si>
    <t>Rentas Exentas de Capital</t>
  </si>
  <si>
    <t>Aportes Seguridad Social Empleados Renta No Laboral</t>
  </si>
  <si>
    <t>Base en UVT Cedula General</t>
  </si>
  <si>
    <t xml:space="preserve">Impuesto a Cargo </t>
  </si>
  <si>
    <t>RENTAS DE PENSIONES</t>
  </si>
  <si>
    <t>Base Renta Pensiones</t>
  </si>
  <si>
    <t>Dividendos Decretados  2019 Con utilidades del 2017 y Siguientes</t>
  </si>
  <si>
    <t>Dividendos y Participaciones Gravadas</t>
  </si>
  <si>
    <t>Dividendos Y Participaciones No Gravadas</t>
  </si>
  <si>
    <t>Dividendos y Participaciones Parte No Gravada</t>
  </si>
  <si>
    <t>RENTAS DE DIVIDENDOS</t>
  </si>
  <si>
    <t>Base Renta Dividendos</t>
  </si>
  <si>
    <t>GANANCIA OCASIONAL</t>
  </si>
  <si>
    <t>Renta Exenta Venta Vivienda Urbana</t>
  </si>
  <si>
    <t>Renta Exenta Heredero</t>
  </si>
  <si>
    <t>Renta Exenta Porcion Conyugal</t>
  </si>
  <si>
    <t>Otras Rentas Exentas</t>
  </si>
  <si>
    <t>Renta Exenta Vivienda Habitacion</t>
  </si>
  <si>
    <t>Base Ganancia Ocasional</t>
  </si>
  <si>
    <t>Retencion Sobre las Ganancias Ocasionales</t>
  </si>
  <si>
    <t>Retencion en la Fuente</t>
  </si>
  <si>
    <t xml:space="preserve"> A LA TARIFA 20%</t>
  </si>
  <si>
    <t>A LA TARIFA 10%</t>
  </si>
  <si>
    <t>Base Demas Ganancias Ocasionales</t>
  </si>
  <si>
    <t>Impuesto  a Cargo 20%</t>
  </si>
  <si>
    <t>RENTA PRESUNTIVA</t>
  </si>
  <si>
    <t xml:space="preserve">Porcentaje Patrimonial </t>
  </si>
  <si>
    <t>Valor Acciones y Aportes en Sociedades Colombianas</t>
  </si>
  <si>
    <t>Valor a excluir del patrimonio por valor Acciones y Aportes</t>
  </si>
  <si>
    <t>Bienes en Periodo Improductivo</t>
  </si>
  <si>
    <t>Hasta 19,000 UVT destinados al sector agropecuario</t>
  </si>
  <si>
    <t>Las primeras 8,000 UVT casa de habitacion</t>
  </si>
  <si>
    <t>Ahorro en los fondos de pensiones voluntarias</t>
  </si>
  <si>
    <t>Declaracion de Renta y Complementarios Personas Naturales y Asimiladas de Residentes y Sucesiones Iliquidas de Causantes Residentes</t>
  </si>
  <si>
    <t>Privada</t>
  </si>
  <si>
    <t>FECHA DE VENCIMIENTO</t>
  </si>
  <si>
    <t>1. Año</t>
  </si>
  <si>
    <t xml:space="preserve">Colombia </t>
  </si>
  <si>
    <t>4. Número de Formulario</t>
  </si>
  <si>
    <t>Un compromiso que no podemos evadir</t>
  </si>
  <si>
    <t>Lea cuidadosamente las instrucciones</t>
  </si>
  <si>
    <t>Datos del Declarante</t>
  </si>
  <si>
    <t>5. Numero de Identificación Tributaria (Nit)</t>
  </si>
  <si>
    <t>6. DV.</t>
  </si>
  <si>
    <t>7. Primer Apellido</t>
  </si>
  <si>
    <t>8. Segundo  Apellido</t>
  </si>
  <si>
    <t>9. Primer  Nombre</t>
  </si>
  <si>
    <t>10. Otros Nombres</t>
  </si>
  <si>
    <t xml:space="preserve"> </t>
  </si>
  <si>
    <t>11. Razon Social</t>
  </si>
  <si>
    <t>12. Cod. Direccion
Seccional</t>
  </si>
  <si>
    <t>24. Actividad Económica</t>
  </si>
  <si>
    <t xml:space="preserve">Si es una corrección indique:  </t>
  </si>
  <si>
    <t>25. Cod.</t>
  </si>
  <si>
    <t>26.  No. Formulario anterior</t>
  </si>
  <si>
    <t>Patrimonio</t>
  </si>
  <si>
    <t>Patrimonio bruto</t>
  </si>
  <si>
    <t>Rentas por Dividendos y Participaciones</t>
  </si>
  <si>
    <t>Dividendos y participaciones 2016 y anteriores, capitalizaciones, art 36-3 E.T. y distribucciones de las ECE, art 893 E.T.</t>
  </si>
  <si>
    <t>Deudas</t>
  </si>
  <si>
    <t xml:space="preserve">Ingresos no constitutivos de renta </t>
  </si>
  <si>
    <t>Patrimonio liquido (29-30)</t>
  </si>
  <si>
    <t>Rentas de Trabajo</t>
  </si>
  <si>
    <t>Ingresos brutos por rentas de trabajo (art 103 E.T.)</t>
  </si>
  <si>
    <t>1a.  Subcedula año 2017 y siguientes numeral 3 art.49 del E.T.</t>
  </si>
  <si>
    <t>2a.  Subcedula año 2017 y siguientes paragrafo 2 art.49 del E.T.</t>
  </si>
  <si>
    <t>Renta liquida pasiva dividendos-ECE</t>
  </si>
  <si>
    <t>Rentas exentas de trabajo y deducciones imputables</t>
  </si>
  <si>
    <t xml:space="preserve">Rentas exentas dividendos recibidos de ECE y/o recibidos del exterior </t>
  </si>
  <si>
    <t>Rentas exentas de trabajo y deducciones imputables (limitadas)</t>
  </si>
  <si>
    <t>Renta liquida cedular de trabajo (34-36)</t>
  </si>
  <si>
    <t>Rentas de Pensiones</t>
  </si>
  <si>
    <t>Ingresos brutos por rentas de pensiones del pais y del exterior</t>
  </si>
  <si>
    <t>Renta presuntiva</t>
  </si>
  <si>
    <t>Ingresos por ganancias ocasionales del pais y del exterior</t>
  </si>
  <si>
    <t>Costos por ganancias ocasionales</t>
  </si>
  <si>
    <t>Rentas exentas de pensiones</t>
  </si>
  <si>
    <t>Ganancias ocasionales no gravadas y exentas</t>
  </si>
  <si>
    <t>Ganancias ocasionales gravables ( 77-78-79)</t>
  </si>
  <si>
    <t>Rentas de Capital</t>
  </si>
  <si>
    <t>Ingresos brutos rentas de capital</t>
  </si>
  <si>
    <t>Liquidacion Privada</t>
  </si>
  <si>
    <t>Impuesto sobre las rentas liquidas cedulares</t>
  </si>
  <si>
    <t>Costos y gastos procedentes</t>
  </si>
  <si>
    <t>Impuesto sobre la renta liquida de dividendos y participaciones año 2016 y anteriores y distribuccion beneficios ECE</t>
  </si>
  <si>
    <t>Renta liquida (43-44-45)</t>
  </si>
  <si>
    <t>Impuesto sobre la renta por dividendos y participaciones año 2017 y siguientes 1a subcedula</t>
  </si>
  <si>
    <t>Rentas liquidas pasivas de capital-ECE</t>
  </si>
  <si>
    <t>Impuesto sobre la renta por dividendos y participaciones año 2017 y siguientes 2a subcedula</t>
  </si>
  <si>
    <t>Rentas exentas y deducciones imputables a las rentas de capital</t>
  </si>
  <si>
    <t>Rentas exentas de capital y deducciones imputables (limitadas)</t>
  </si>
  <si>
    <t>Renta liquida ordinaria del ejercicio(43+47-44-45-49)</t>
  </si>
  <si>
    <t>Perdida liquida del ejercicio (44+45+49-43-47)</t>
  </si>
  <si>
    <t>Descuentos</t>
  </si>
  <si>
    <t>Impuestos pagados en el exterior</t>
  </si>
  <si>
    <t>Compensacion por perdidas de ejercicios anteriores</t>
  </si>
  <si>
    <t>Donaciones</t>
  </si>
  <si>
    <t>Renta liquida cedular de capital (50-52)</t>
  </si>
  <si>
    <t>Rentas no Laborales</t>
  </si>
  <si>
    <t>Ingresos brutos rentas no laborales</t>
  </si>
  <si>
    <t>Devoluciones rebajas y descuentos</t>
  </si>
  <si>
    <t>Impuestos de ganancias ocasionales</t>
  </si>
  <si>
    <t>Descuento por impuestos pagados en el exterior de ganancias ocasionales</t>
  </si>
  <si>
    <t>Renta liquida (54-55-56-57)</t>
  </si>
  <si>
    <t>Rentas liquidas pasivas de no laborales-ECE</t>
  </si>
  <si>
    <t xml:space="preserve">Anticipo renta liquidado año gravable anterior </t>
  </si>
  <si>
    <t>Rentas exentas y deducciones imputables a las rentas no laborales</t>
  </si>
  <si>
    <t xml:space="preserve">Saldo a favor del año gravable anterior sin solicitud de devolucion y/o compensacion </t>
  </si>
  <si>
    <t>Rentas exentas no laborales y deducciones imputables (limitadas)</t>
  </si>
  <si>
    <t xml:space="preserve">Retenciones año gravable a declarar </t>
  </si>
  <si>
    <t>Renta liquida ordinaria del ejercicio(54+59-55-56-57-61)</t>
  </si>
  <si>
    <t>Anticipo renta para el año gravable siguiente</t>
  </si>
  <si>
    <t>Perdida liquida del ejercicio (55+56+57+61-54-59)</t>
  </si>
  <si>
    <t>Compensaciones</t>
  </si>
  <si>
    <t>Sanciones</t>
  </si>
  <si>
    <t>Rentas liquidas gravables no laborales</t>
  </si>
  <si>
    <t>Total saldo a pagar (96+100+102-97-98-99)</t>
  </si>
  <si>
    <t>Renta liquida cedular de no laboral (62-64+65)</t>
  </si>
  <si>
    <t>Total saldo a favor (97+98+99-96-100-102)</t>
  </si>
  <si>
    <t>981. Cod. Representacion</t>
  </si>
  <si>
    <r>
      <t>997</t>
    </r>
    <r>
      <rPr>
        <sz val="9"/>
        <rFont val="Arial"/>
        <family val="2"/>
      </rPr>
      <t>. Espacio exclusivo para el sello de la entidad recaudadora
(Fecha efectiva de la transaccion)</t>
    </r>
  </si>
  <si>
    <t>Firma del declarante o de quien lo representa</t>
  </si>
  <si>
    <t xml:space="preserve">980. Pago total       </t>
  </si>
  <si>
    <t>$</t>
  </si>
  <si>
    <r>
      <t>996</t>
    </r>
    <r>
      <rPr>
        <sz val="9"/>
        <rFont val="Arial"/>
        <family val="2"/>
      </rPr>
      <t>. Espacio para el numero interno de la DIAN / adhesivo</t>
    </r>
  </si>
  <si>
    <t>982. Codigo Contador o Revisor Fiscal</t>
  </si>
  <si>
    <t>Firma Contador o Revisor Fiscal</t>
  </si>
  <si>
    <t>994. Con salvedades</t>
  </si>
  <si>
    <t>983. No. Tarjeta profesional</t>
  </si>
  <si>
    <t>NIT O NÚMERO DE CÉDULA</t>
  </si>
  <si>
    <t>DÍGITO DE VERIFICACIÓN</t>
  </si>
  <si>
    <t>NECESARIO PARA EL CÁLCULO</t>
  </si>
  <si>
    <t>PATRIMONIO LIQUIDO AÑO ANTERIOR :</t>
  </si>
  <si>
    <t xml:space="preserve">PATRIMONIO BRUTO AÑO ANTERIOR : </t>
  </si>
  <si>
    <t>IMPUESTO A CARGO AÑO ANTERIOR :</t>
  </si>
  <si>
    <t>SALDO A FAVOR SIN SOLICITUD DE DEVOLUCION:</t>
  </si>
  <si>
    <t xml:space="preserve">ANTICIPO DE RENTA AÑO ANTERIOR: </t>
  </si>
  <si>
    <t>Costos y Deducciones procedentes(Trabajador Independiente)</t>
  </si>
  <si>
    <t>Renta liquida cedula general</t>
  </si>
  <si>
    <t>Renta exentas y deducciones imputables limitadas</t>
  </si>
  <si>
    <t>Renta Liquida ordinaria cedula general</t>
  </si>
  <si>
    <t>Compensacion por perdidas año gravable 2016 y anteriores y compensacion por exceso de renta presuntiva</t>
  </si>
  <si>
    <t>Renta Liquida gravable cedula general</t>
  </si>
  <si>
    <t>64-65</t>
  </si>
  <si>
    <t xml:space="preserve">Renta liquida </t>
  </si>
  <si>
    <t xml:space="preserve">Renta liquida cedular de pensiones </t>
  </si>
  <si>
    <t xml:space="preserve">Renta liquida ordinaria año 2016 y anteriores </t>
  </si>
  <si>
    <t>General y de Pensiones</t>
  </si>
  <si>
    <t>o Renta Presuntiva y de Pensiones</t>
  </si>
  <si>
    <t xml:space="preserve">Total impuesto sobre las rentas cedulares </t>
  </si>
  <si>
    <t>Total descuentos tributarios</t>
  </si>
  <si>
    <t xml:space="preserve">Impuesto neto de renta </t>
  </si>
  <si>
    <t>Base en UVT Cedula Pensiones</t>
  </si>
  <si>
    <t>Retencion Cedulas</t>
  </si>
  <si>
    <t>Retencion Ingresos de Capital</t>
  </si>
  <si>
    <t>Retencion Ingresos No Laborales</t>
  </si>
  <si>
    <t xml:space="preserve">Total impuesto a cargo </t>
  </si>
  <si>
    <t xml:space="preserve">Saldo a pagar por impuesto </t>
  </si>
  <si>
    <t>DECLARACION NUMERO</t>
  </si>
  <si>
    <t>Tipo Nro Declaracion</t>
  </si>
  <si>
    <t>3 o más</t>
  </si>
  <si>
    <t>ANTICIPO DE RENTA</t>
  </si>
  <si>
    <t xml:space="preserve">Porcentaje de Anticipo </t>
  </si>
  <si>
    <t xml:space="preserve">Impuesto de Renta </t>
  </si>
  <si>
    <t>Menos Retenciones en la Fuente</t>
  </si>
  <si>
    <t>Base</t>
  </si>
  <si>
    <t>Anticipo de Renta Nro 1</t>
  </si>
  <si>
    <t>Impuesto de Renta Promedio</t>
  </si>
  <si>
    <t>Menos Retencion en la Fuente</t>
  </si>
  <si>
    <t>Anticipo de Renta Nro 2</t>
  </si>
  <si>
    <t>Anticipo Real</t>
  </si>
  <si>
    <t>SANCIONES</t>
  </si>
  <si>
    <t xml:space="preserve">Fecha en que debe presentar Declaracion </t>
  </si>
  <si>
    <t>Fecha Actual</t>
  </si>
  <si>
    <t>ESTADO</t>
  </si>
  <si>
    <t>Calculo</t>
  </si>
  <si>
    <t>Impuesto a Cargo</t>
  </si>
  <si>
    <t>Base Ingreso</t>
  </si>
  <si>
    <t xml:space="preserve">Base Patrimonio </t>
  </si>
  <si>
    <t>Dias de Vencimiento</t>
  </si>
  <si>
    <t>Base Sancion</t>
  </si>
  <si>
    <t>Sancion No 1</t>
  </si>
  <si>
    <t xml:space="preserve">Base Sancion </t>
  </si>
  <si>
    <t>Meses</t>
  </si>
  <si>
    <t>Sancion No 2</t>
  </si>
  <si>
    <t>5% del valor del Ingreso</t>
  </si>
  <si>
    <t>Doble del Saldo  a Favor</t>
  </si>
  <si>
    <t>2500 uvt</t>
  </si>
  <si>
    <t>Valor Minimo</t>
  </si>
  <si>
    <t>10% del valor del Patrimonio</t>
  </si>
  <si>
    <t>Sancion Real</t>
  </si>
  <si>
    <t>Disminucion por Proporcionalidad</t>
  </si>
  <si>
    <t>Sancion</t>
  </si>
  <si>
    <t>EDITAR</t>
  </si>
  <si>
    <t>DONACIONES</t>
  </si>
  <si>
    <t>VALOR TRIBUTARIO A DESCONTAR</t>
  </si>
  <si>
    <t>Costos y  deducciones procedentes (Trabajador Independiente)</t>
  </si>
  <si>
    <t>Costo Trabajador Independiente</t>
  </si>
  <si>
    <t>Fecha</t>
  </si>
  <si>
    <t>Base Patrimonio Año Anterior</t>
  </si>
  <si>
    <t>Base Renta Presuntiva</t>
  </si>
  <si>
    <t>Base en UVT Renta Presuntiva</t>
  </si>
  <si>
    <t>Impuesto de Renta Presuntiva</t>
  </si>
  <si>
    <t>Tiene Clara la Justificacion?</t>
  </si>
  <si>
    <t>Conciliación Patrimonial</t>
  </si>
  <si>
    <t>SI</t>
  </si>
  <si>
    <t>NO</t>
  </si>
  <si>
    <t>27. Fraccion año gravable siguiente</t>
  </si>
  <si>
    <t>28. Perdidas fiscales acumuladas años anteriores sin compensar</t>
  </si>
  <si>
    <t>Cedula General</t>
  </si>
  <si>
    <t>Conceptos/rentas</t>
  </si>
  <si>
    <t>Total Patrimonio Bruto</t>
  </si>
  <si>
    <t>Total Patrimonio Liquido</t>
  </si>
  <si>
    <t>Rentas de trabajo</t>
  </si>
  <si>
    <t>Rentas por honorarios y comp de serv personales</t>
  </si>
  <si>
    <t>Rentas de capital</t>
  </si>
  <si>
    <t>Rentas no laborales</t>
  </si>
  <si>
    <t>Ingresos brutos</t>
  </si>
  <si>
    <t>Devoluciones, rebajas y descuentos</t>
  </si>
  <si>
    <t>Ingresos no constitutivos de renta</t>
  </si>
  <si>
    <t>Costos y deducciones procedentes</t>
  </si>
  <si>
    <t>Rentas liquidas pasivas-ECE</t>
  </si>
  <si>
    <t>Rentas Exentas</t>
  </si>
  <si>
    <t>Aportes Voluntarios AFC</t>
  </si>
  <si>
    <t>Otras rentas exentas</t>
  </si>
  <si>
    <t>Total rentas exentas</t>
  </si>
  <si>
    <t>Deducibles Imputables</t>
  </si>
  <si>
    <t>Intereses de vivienda</t>
  </si>
  <si>
    <t>Otras Deducciones Imputables</t>
  </si>
  <si>
    <t>Total Deducciones Imputables</t>
  </si>
  <si>
    <t>Rentas Exentas y/o deduc. Imputables (Limitadas)</t>
  </si>
  <si>
    <t>Renta liquida ordinaria del ejercicio</t>
  </si>
  <si>
    <t>Perdida liquida del ejercicio</t>
  </si>
  <si>
    <t>Compensaciones por perdidas</t>
  </si>
  <si>
    <t>Renta liquida ordinaria</t>
  </si>
  <si>
    <t>Ren. Liqu ced. gen</t>
  </si>
  <si>
    <t>Comp por exc renta presuntiva</t>
  </si>
  <si>
    <t>Ren. ex y  ded imp li.</t>
  </si>
  <si>
    <t>Rentas gravables</t>
  </si>
  <si>
    <t>Renta liquida ord ced general</t>
  </si>
  <si>
    <t>Renta liquida grav ced general</t>
  </si>
  <si>
    <t>Comp perdidas año 2018 y ant.</t>
  </si>
  <si>
    <t>Renta Presuntiva</t>
  </si>
  <si>
    <t>Ingresos brutos por rentas de pensiones del pais</t>
  </si>
  <si>
    <t>Renta exentas en Pensiones</t>
  </si>
  <si>
    <t>Renta Liquida gravable cedula de pensiones</t>
  </si>
  <si>
    <t>Ganancias ocasionales gravables</t>
  </si>
  <si>
    <t>Impuesto sobre las rentas liquidas gravables</t>
  </si>
  <si>
    <t>General y de pensiones</t>
  </si>
  <si>
    <t>Renta presuntiva y de pensiones</t>
  </si>
  <si>
    <t>Por dividendos y participaciones año 2016</t>
  </si>
  <si>
    <t>Por dividendos y participaciones año 2017</t>
  </si>
  <si>
    <t>Total  Impuesto sobre las rentas liquidas gravables</t>
  </si>
  <si>
    <t>Imp. Pagados en el ext</t>
  </si>
  <si>
    <t>Total Descuentos trib</t>
  </si>
  <si>
    <t>Impuesto neto de renta</t>
  </si>
  <si>
    <t>Impuesto de ganancias ocasionales</t>
  </si>
  <si>
    <t>Descuento por impuestos pagados en el ext</t>
  </si>
  <si>
    <t>Total impuesto a cargo</t>
  </si>
  <si>
    <t>Anticipo renta liquidado año gravable anterior</t>
  </si>
  <si>
    <t>Saldo a favor del año gravable anterior sin d o s</t>
  </si>
  <si>
    <t>Retenciones año gravable a declarar y/o abono por inexequibilidad impuesto solidario por el COVID19</t>
  </si>
  <si>
    <t>Dividendos y participaciones 2016 y anteriores y otros</t>
  </si>
  <si>
    <t>Ingreso no constitutivo de renta</t>
  </si>
  <si>
    <t>Renta liquida ordinaria año 2016 y anteriores</t>
  </si>
  <si>
    <t>Subcedula año 2017 y siguientes numeral 3 art 49</t>
  </si>
  <si>
    <t>Subcedula año 2017 y siguientes paragrafo 2 art 49</t>
  </si>
  <si>
    <t>Renta liquida pasiva dividendos- ECE y/o recibidos</t>
  </si>
  <si>
    <t>Rentas exentas de la casilla 109</t>
  </si>
  <si>
    <t>Ingresos por ganancias ocasionales en el pais y del exterior</t>
  </si>
  <si>
    <t>Rentas deudores regimen ley 1116 de 2006</t>
  </si>
  <si>
    <t xml:space="preserve">Utilizacion perdidas fiscales acumuladas </t>
  </si>
  <si>
    <t>Saldo a Pagar</t>
  </si>
  <si>
    <t>Total Saldo a Pagar</t>
  </si>
  <si>
    <t>Total Saldo a Favor</t>
  </si>
  <si>
    <t xml:space="preserve">                     980. Pago Total  $     </t>
  </si>
  <si>
    <t>981. Cod Representacion</t>
  </si>
  <si>
    <t xml:space="preserve">Cod. Contador </t>
  </si>
  <si>
    <t>Último dígito Nit</t>
  </si>
  <si>
    <t xml:space="preserve">FECHA DE VENCIMIENTO </t>
  </si>
  <si>
    <t xml:space="preserve">     EDITAR</t>
  </si>
  <si>
    <t>Pagos por honorarios</t>
  </si>
  <si>
    <t>Pagos por salarios o emolumentos eclesiásticos</t>
  </si>
  <si>
    <t>Pagos por servicios</t>
  </si>
  <si>
    <t>Pagos por comisiones</t>
  </si>
  <si>
    <t>Pagos por prestaciones sociales</t>
  </si>
  <si>
    <t>Pagos por viáticos</t>
  </si>
  <si>
    <t>Pagos por gastos de representación</t>
  </si>
  <si>
    <t>Pagos por compensaciones por el trabajo asociado cooperativo</t>
  </si>
  <si>
    <t>Otros pagos</t>
  </si>
  <si>
    <t>Aportes obligatorios por salud</t>
  </si>
  <si>
    <t>Aportes obligatorios a fondos de pensiones y solidaridad pensional y Aportes voluntarios al - RAIS</t>
  </si>
  <si>
    <t>Aportes voluntarios a fondos de pensiones voluntarias</t>
  </si>
  <si>
    <t>Aportes a cuentas AFC.</t>
  </si>
  <si>
    <t>Valor de la retención en la fuente por rentas de trabajo y pensiones</t>
  </si>
  <si>
    <t>RENTAS HONORARIOS Y/O SERVICIOS DE COMPENSACION</t>
  </si>
  <si>
    <t>Renta Honorarios</t>
  </si>
  <si>
    <t>Salud y Pension (Trabajador Independiente)</t>
  </si>
  <si>
    <t>Aportes AFC y Pensiones Voluntarias (Trabajador Independiente)</t>
  </si>
  <si>
    <t>BORRADOR PDF</t>
  </si>
  <si>
    <t>GUARDAR EXCEL</t>
  </si>
  <si>
    <t>Nombre / Razón Social</t>
  </si>
  <si>
    <t>Nombre/Razón Social reportada por el tercero</t>
  </si>
  <si>
    <t>Detalle</t>
  </si>
  <si>
    <t>Pagos por otros conceptos</t>
  </si>
  <si>
    <t>Cesantías e intereses de cesantías efectivamente pagadas, consignadas o reconocidas en el periodo</t>
  </si>
  <si>
    <t>Pagos por salarios</t>
  </si>
  <si>
    <t>Aportes obligatorios a fondos de pensiones y solidaridad pensional y aportes voluntarios al RAIS</t>
  </si>
  <si>
    <t>Retenciones - Honorarios</t>
  </si>
  <si>
    <t>Valor de los intereses o rendimientos causados en el periodo sobre los aportes al fondo de cesantías - Empleado</t>
  </si>
  <si>
    <t>Retenciones - Intereses y rendimientos</t>
  </si>
  <si>
    <t>INFORMACION EXOGENA</t>
  </si>
  <si>
    <t>Pagos por rendimientos CDT (Titular principal)</t>
  </si>
  <si>
    <t>Ingreso por venta de bienes, cesión de derechos, donaciones  y otros actos reportados por notarías</t>
  </si>
  <si>
    <t>Retenciones - Por enajenación ante Notarios y Tránsito</t>
  </si>
  <si>
    <t>Rendimientos o utilidades pagados en el periodo</t>
  </si>
  <si>
    <t>010</t>
  </si>
  <si>
    <t>Retenciones - Rentas de trabajo o pensiones</t>
  </si>
  <si>
    <t>Pagos laborales por otros conceptos</t>
  </si>
  <si>
    <t>Pagos por arrendamientos</t>
  </si>
  <si>
    <t>Ingresos por rentas de pensiones del país y del exterior</t>
  </si>
  <si>
    <t>Pagos por intereses</t>
  </si>
  <si>
    <t>Pagos por intereses y rendimientos financieros</t>
  </si>
  <si>
    <t>Pagos por siniestros por seguros de vida pagados o abonados en cuenta</t>
  </si>
  <si>
    <t>Retenciones - Otras retenciones</t>
  </si>
  <si>
    <t>Pagos por fondos reintegrados, transferido o distribuidos (Formato 1647)</t>
  </si>
  <si>
    <t>Retenciones - Servicios</t>
  </si>
  <si>
    <t>Dividendos 1a Subcédula año 2017 y siguientes numeral 3 art 49 del E.T: - concepto 5071</t>
  </si>
  <si>
    <t>Dividendos y participaciones 2016 y anteriores, y otros, numeral 3 artículo 49 E.T (5069)</t>
  </si>
  <si>
    <t>Ventas a través del sistema de tarjetas de crédito</t>
  </si>
  <si>
    <t>Pagos por siniestros por daño emergente pagados o abonados en cuenta</t>
  </si>
  <si>
    <t>Retenciones - Sobre ingresos de tarjetas débito y crédito</t>
  </si>
  <si>
    <t>CARGAR A DB</t>
  </si>
  <si>
    <t>Nro Dependientes</t>
  </si>
  <si>
    <t>DEMAS DEDUCCIONES</t>
  </si>
  <si>
    <t>1% Adquisicion Bienes y Servicios con Factura Electronica</t>
  </si>
  <si>
    <t>Total Otras Deducciones</t>
  </si>
  <si>
    <t>Deduccion 1% Facturas SR</t>
  </si>
  <si>
    <t xml:space="preserve">Impuesto a Cargo 15% </t>
  </si>
  <si>
    <t>1% Costos y Gastos Facturacion Electronica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</si>
</sst>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_);_(* \(#,##0\);_(* &quot;-&quot;_);_(@_)"/>
    <numFmt numFmtId="165" formatCode="_(* #,##0.00_);_(* \(#,##0.00\);_(* &quot;-&quot;??_);_(@_)"/>
    <numFmt numFmtId="166" formatCode="#,##0.00\ &quot;€&quot;"/>
    <numFmt numFmtId="167" formatCode="[$$-240A]\ #,##0;[Red]\-[$$-240A]\ #,##0"/>
    <numFmt numFmtId="168" formatCode="_-* #,##0_-;\-* #,##0_-;_-* &quot;-&quot;??_-;_-@_-"/>
    <numFmt numFmtId="169" formatCode="[$-C0A]d\ &quot;de&quot;\ mmmm\ &quot;de&quot;\ yyyy;@"/>
    <numFmt numFmtId="170" formatCode="_-* #,##0.00\ _€_-;\-* #,##0.00\ _€_-;_-* &quot;-&quot;??\ _€_-;_-@_-"/>
    <numFmt numFmtId="171" formatCode="_-* #,##0\ _€_-;\-* #,##0\ _€_-;_-* &quot;-&quot;??\ _€_-;_-@_-"/>
    <numFmt numFmtId="172" formatCode="_(* #,##0_);_(* \(#,##0\);_(* &quot;-&quot;??_);_(@_)"/>
  </numFmts>
  <fonts count="4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1"/>
      <name val="Georgia"/>
      <family val="1"/>
    </font>
    <font>
      <sz val="14"/>
      <color theme="1"/>
      <name val="Georgia"/>
      <family val="1"/>
    </font>
    <font>
      <sz val="8"/>
      <color rgb="FF000000"/>
      <name val="Segoe UI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11"/>
      <name val="Arial"/>
      <family val="2"/>
    </font>
    <font>
      <b/>
      <sz val="16"/>
      <name val="Arial"/>
      <family val="2"/>
    </font>
    <font>
      <b/>
      <sz val="48"/>
      <color indexed="9"/>
      <name val="Arial"/>
      <family val="2"/>
    </font>
    <font>
      <b/>
      <sz val="16"/>
      <color rgb="FFFF0000"/>
      <name val="Calibri"/>
      <family val="2"/>
      <scheme val="minor"/>
    </font>
    <font>
      <b/>
      <sz val="9"/>
      <name val="Arial"/>
      <family val="2"/>
    </font>
    <font>
      <b/>
      <sz val="9"/>
      <color indexed="55"/>
      <name val="Arial"/>
      <family val="2"/>
    </font>
    <font>
      <b/>
      <sz val="18"/>
      <color indexed="55"/>
      <name val="Arial"/>
      <family val="2"/>
    </font>
    <font>
      <b/>
      <u/>
      <sz val="16"/>
      <color indexed="55"/>
      <name val="Arial"/>
      <family val="2"/>
    </font>
    <font>
      <b/>
      <sz val="16"/>
      <color indexed="55"/>
      <name val="Arial"/>
      <family val="2"/>
    </font>
    <font>
      <sz val="11"/>
      <color indexed="55"/>
      <name val="Arial"/>
      <family val="2"/>
    </font>
    <font>
      <b/>
      <sz val="10"/>
      <name val="Arial"/>
      <family val="2"/>
    </font>
    <font>
      <b/>
      <sz val="14"/>
      <color theme="6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6"/>
      <name val="Arial"/>
      <family val="2"/>
    </font>
    <font>
      <b/>
      <sz val="12"/>
      <color rgb="FF000000"/>
      <name val="Open Sans"/>
      <family val="2"/>
    </font>
    <font>
      <sz val="12"/>
      <color rgb="FF333333"/>
      <name val="Open Sans"/>
      <family val="2"/>
    </font>
    <font>
      <sz val="12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28"/>
      <color theme="1"/>
      <name val="Georgia"/>
      <family val="1"/>
    </font>
    <font>
      <sz val="28"/>
      <color theme="9" tint="-0.499984740745262"/>
      <name val="Georgia"/>
      <family val="1"/>
    </font>
    <font>
      <u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4"/>
      <color indexed="8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1B7F3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rgb="FF63979D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indexed="9"/>
      </patternFill>
    </fill>
    <fill>
      <patternFill patternType="solid">
        <fgColor indexed="42"/>
        <bgColor indexed="64"/>
      </patternFill>
    </fill>
    <fill>
      <patternFill patternType="solid">
        <fgColor rgb="FFCCFFCE"/>
        <bgColor indexed="64"/>
      </patternFill>
    </fill>
    <fill>
      <patternFill patternType="solid">
        <fgColor theme="0" tint="-0.499984740745262"/>
        <bgColor indexed="64"/>
      </patternFill>
    </fill>
  </fills>
  <borders count="10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ck">
        <color rgb="FF1B7F35"/>
      </left>
      <right/>
      <top style="medium">
        <color indexed="64"/>
      </top>
      <bottom/>
      <diagonal/>
    </border>
    <border>
      <left/>
      <right style="thick">
        <color rgb="FF1B7F35"/>
      </right>
      <top style="medium">
        <color indexed="64"/>
      </top>
      <bottom/>
      <diagonal/>
    </border>
    <border>
      <left style="thick">
        <color rgb="FF1B7F35"/>
      </left>
      <right style="thick">
        <color rgb="FF1B7F35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ck">
        <color rgb="FF1B7F35"/>
      </right>
      <top/>
      <bottom/>
      <diagonal/>
    </border>
    <border>
      <left style="thick">
        <color rgb="FF1B7F35"/>
      </left>
      <right/>
      <top/>
      <bottom/>
      <diagonal/>
    </border>
    <border>
      <left style="thick">
        <color rgb="FF1B7F35"/>
      </left>
      <right style="thick">
        <color rgb="FF1B7F35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rgb="FF1B7F35"/>
      </left>
      <right style="thin">
        <color rgb="FF1B7F35"/>
      </right>
      <top style="medium">
        <color indexed="64"/>
      </top>
      <bottom style="thick">
        <color rgb="FF1B7F35"/>
      </bottom>
      <diagonal/>
    </border>
    <border>
      <left style="thin">
        <color rgb="FF1B7F35"/>
      </left>
      <right style="thin">
        <color rgb="FF1B7F35"/>
      </right>
      <top style="medium">
        <color indexed="64"/>
      </top>
      <bottom style="thick">
        <color rgb="FF1B7F35"/>
      </bottom>
      <diagonal/>
    </border>
    <border>
      <left style="thin">
        <color rgb="FF1B7F35"/>
      </left>
      <right style="thick">
        <color rgb="FF1B7F35"/>
      </right>
      <top style="medium">
        <color indexed="64"/>
      </top>
      <bottom style="thick">
        <color rgb="FF1B7F35"/>
      </bottom>
      <diagonal/>
    </border>
    <border>
      <left/>
      <right style="thin">
        <color rgb="FF1B7F35"/>
      </right>
      <top/>
      <bottom/>
      <diagonal/>
    </border>
    <border>
      <left style="thin">
        <color rgb="FF1B7F35"/>
      </left>
      <right style="thin">
        <color rgb="FF1B7F35"/>
      </right>
      <top/>
      <bottom/>
      <diagonal/>
    </border>
    <border>
      <left/>
      <right style="thin">
        <color rgb="FF1B7F35"/>
      </right>
      <top/>
      <bottom style="thin">
        <color rgb="FF1B7F35"/>
      </bottom>
      <diagonal/>
    </border>
    <border>
      <left style="thin">
        <color rgb="FF1B7F35"/>
      </left>
      <right style="thin">
        <color rgb="FF1B7F35"/>
      </right>
      <top/>
      <bottom style="thin">
        <color rgb="FF1B7F35"/>
      </bottom>
      <diagonal/>
    </border>
    <border>
      <left style="thin">
        <color rgb="FF1B7F35"/>
      </left>
      <right/>
      <top/>
      <bottom style="thin">
        <color rgb="FF1B7F35"/>
      </bottom>
      <diagonal/>
    </border>
    <border>
      <left/>
      <right/>
      <top/>
      <bottom style="thin">
        <color rgb="FF1B7F35"/>
      </bottom>
      <diagonal/>
    </border>
    <border>
      <left/>
      <right style="medium">
        <color indexed="64"/>
      </right>
      <top/>
      <bottom style="thin">
        <color rgb="FF1B7F35"/>
      </bottom>
      <diagonal/>
    </border>
    <border>
      <left/>
      <right/>
      <top style="thin">
        <color rgb="FF1B7F35"/>
      </top>
      <bottom/>
      <diagonal/>
    </border>
    <border>
      <left style="thin">
        <color rgb="FF1B7F35"/>
      </left>
      <right/>
      <top style="thin">
        <color rgb="FF1B7F35"/>
      </top>
      <bottom/>
      <diagonal/>
    </border>
    <border>
      <left/>
      <right style="medium">
        <color indexed="64"/>
      </right>
      <top style="thin">
        <color rgb="FF1B7F35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1B7F35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1B7F35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1B7F35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1B7F35"/>
      </right>
      <top style="medium">
        <color indexed="64"/>
      </top>
      <bottom/>
      <diagonal/>
    </border>
    <border>
      <left style="thin">
        <color rgb="FF1B7F35"/>
      </left>
      <right style="thin">
        <color rgb="FF1B7F35"/>
      </right>
      <top style="medium">
        <color indexed="64"/>
      </top>
      <bottom/>
      <diagonal/>
    </border>
    <border>
      <left style="thin">
        <color rgb="FF1B7F35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1B7F35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1B7F35"/>
      </right>
      <top/>
      <bottom style="medium">
        <color indexed="64"/>
      </bottom>
      <diagonal/>
    </border>
    <border>
      <left style="thin">
        <color rgb="FF1B7F35"/>
      </left>
      <right style="thin">
        <color rgb="FF1B7F35"/>
      </right>
      <top/>
      <bottom style="medium">
        <color indexed="64"/>
      </bottom>
      <diagonal/>
    </border>
    <border>
      <left style="thin">
        <color rgb="FF1B7F35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rgb="FF1B7F35"/>
      </right>
      <top style="medium">
        <color indexed="64"/>
      </top>
      <bottom/>
      <diagonal/>
    </border>
    <border>
      <left/>
      <right style="thin">
        <color rgb="FF1B7F35"/>
      </right>
      <top/>
      <bottom style="medium">
        <color indexed="64"/>
      </bottom>
      <diagonal/>
    </border>
    <border>
      <left style="thin">
        <color rgb="FF1B7F35"/>
      </left>
      <right/>
      <top/>
      <bottom style="medium">
        <color indexed="64"/>
      </bottom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 style="thin">
        <color rgb="FF1B7F35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1B7F35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1B7F3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rgb="FF1B7F35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rgb="FF1B7F35"/>
      </right>
      <top style="medium">
        <color indexed="64"/>
      </top>
      <bottom style="medium">
        <color indexed="64"/>
      </bottom>
      <diagonal/>
    </border>
    <border>
      <left style="thin">
        <color rgb="FF1B7F35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rgb="FF0091D5"/>
      </top>
      <bottom/>
      <diagonal/>
    </border>
  </borders>
  <cellStyleXfs count="7">
    <xf numFmtId="0" fontId="0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</cellStyleXfs>
  <cellXfs count="875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49" fontId="0" fillId="0" borderId="0" xfId="0" applyNumberFormat="1"/>
    <xf numFmtId="168" fontId="0" fillId="0" borderId="1" xfId="1" applyNumberFormat="1" applyFont="1" applyBorder="1"/>
    <xf numFmtId="168" fontId="0" fillId="0" borderId="1" xfId="1" applyNumberFormat="1" applyFont="1" applyBorder="1" applyAlignment="1">
      <alignment horizontal="center"/>
    </xf>
    <xf numFmtId="0" fontId="1" fillId="0" borderId="1" xfId="0" applyFont="1" applyBorder="1"/>
    <xf numFmtId="0" fontId="0" fillId="0" borderId="0" xfId="0" applyProtection="1">
      <protection hidden="1"/>
    </xf>
    <xf numFmtId="0" fontId="10" fillId="4" borderId="6" xfId="4" applyFont="1" applyFill="1" applyBorder="1" applyAlignment="1" applyProtection="1">
      <alignment vertical="center"/>
      <protection hidden="1"/>
    </xf>
    <xf numFmtId="0" fontId="10" fillId="4" borderId="7" xfId="4" applyFont="1" applyFill="1" applyBorder="1" applyAlignment="1" applyProtection="1">
      <alignment vertical="center"/>
      <protection hidden="1"/>
    </xf>
    <xf numFmtId="0" fontId="15" fillId="0" borderId="22" xfId="4" applyFont="1" applyBorder="1" applyAlignment="1" applyProtection="1">
      <alignment horizontal="center" vertical="center"/>
      <protection hidden="1"/>
    </xf>
    <xf numFmtId="0" fontId="15" fillId="0" borderId="23" xfId="4" applyFont="1" applyBorder="1" applyAlignment="1" applyProtection="1">
      <alignment horizontal="center" vertical="center"/>
      <protection hidden="1"/>
    </xf>
    <xf numFmtId="0" fontId="15" fillId="0" borderId="24" xfId="4" applyFont="1" applyBorder="1" applyAlignment="1" applyProtection="1">
      <alignment horizontal="center" vertical="center"/>
      <protection hidden="1"/>
    </xf>
    <xf numFmtId="0" fontId="10" fillId="6" borderId="6" xfId="4" applyFont="1" applyFill="1" applyBorder="1" applyAlignment="1" applyProtection="1">
      <alignment vertical="center"/>
      <protection hidden="1"/>
    </xf>
    <xf numFmtId="0" fontId="15" fillId="6" borderId="7" xfId="4" applyFont="1" applyFill="1" applyBorder="1" applyAlignment="1" applyProtection="1">
      <alignment horizontal="left" vertical="center"/>
      <protection hidden="1"/>
    </xf>
    <xf numFmtId="0" fontId="10" fillId="6" borderId="7" xfId="4" applyFont="1" applyFill="1" applyBorder="1" applyAlignment="1" applyProtection="1">
      <alignment vertical="center"/>
      <protection hidden="1"/>
    </xf>
    <xf numFmtId="0" fontId="10" fillId="6" borderId="11" xfId="4" applyFont="1" applyFill="1" applyBorder="1" applyAlignment="1" applyProtection="1">
      <alignment vertical="center"/>
      <protection hidden="1"/>
    </xf>
    <xf numFmtId="0" fontId="14" fillId="0" borderId="0" xfId="0" applyFont="1" applyAlignment="1" applyProtection="1">
      <alignment vertical="center"/>
      <protection hidden="1"/>
    </xf>
    <xf numFmtId="0" fontId="16" fillId="0" borderId="14" xfId="4" applyFont="1" applyBorder="1" applyAlignment="1" applyProtection="1">
      <alignment vertical="center" wrapText="1"/>
      <protection hidden="1"/>
    </xf>
    <xf numFmtId="0" fontId="16" fillId="0" borderId="0" xfId="4" applyFont="1" applyAlignment="1" applyProtection="1">
      <alignment vertical="center" wrapText="1"/>
      <protection hidden="1"/>
    </xf>
    <xf numFmtId="0" fontId="16" fillId="0" borderId="0" xfId="4" applyFont="1" applyAlignment="1" applyProtection="1">
      <alignment vertical="center"/>
      <protection hidden="1"/>
    </xf>
    <xf numFmtId="0" fontId="17" fillId="0" borderId="0" xfId="4" applyFont="1" applyAlignment="1" applyProtection="1">
      <alignment vertical="center" wrapText="1"/>
      <protection hidden="1"/>
    </xf>
    <xf numFmtId="0" fontId="9" fillId="6" borderId="0" xfId="4" applyFill="1" applyAlignment="1" applyProtection="1">
      <alignment horizontal="left" vertical="center"/>
      <protection hidden="1"/>
    </xf>
    <xf numFmtId="0" fontId="10" fillId="0" borderId="18" xfId="4" applyFont="1" applyBorder="1" applyAlignment="1" applyProtection="1">
      <alignment horizontal="center" vertical="center"/>
      <protection hidden="1"/>
    </xf>
    <xf numFmtId="0" fontId="18" fillId="0" borderId="0" xfId="4" applyFont="1" applyAlignment="1" applyProtection="1">
      <alignment vertical="center" wrapText="1"/>
      <protection hidden="1"/>
    </xf>
    <xf numFmtId="0" fontId="19" fillId="0" borderId="0" xfId="4" applyFont="1" applyAlignment="1" applyProtection="1">
      <alignment horizontal="right" vertical="center" wrapText="1"/>
      <protection hidden="1"/>
    </xf>
    <xf numFmtId="0" fontId="16" fillId="0" borderId="19" xfId="4" applyFont="1" applyBorder="1" applyAlignment="1" applyProtection="1">
      <alignment vertical="center" wrapText="1"/>
      <protection hidden="1"/>
    </xf>
    <xf numFmtId="0" fontId="16" fillId="0" borderId="20" xfId="4" applyFont="1" applyBorder="1" applyAlignment="1" applyProtection="1">
      <alignment vertical="center" wrapText="1"/>
      <protection hidden="1"/>
    </xf>
    <xf numFmtId="0" fontId="16" fillId="0" borderId="20" xfId="4" applyFont="1" applyBorder="1" applyAlignment="1" applyProtection="1">
      <alignment vertical="center"/>
      <protection hidden="1"/>
    </xf>
    <xf numFmtId="0" fontId="10" fillId="4" borderId="0" xfId="4" applyFont="1" applyFill="1" applyAlignment="1" applyProtection="1">
      <alignment vertical="center"/>
      <protection hidden="1"/>
    </xf>
    <xf numFmtId="0" fontId="15" fillId="4" borderId="0" xfId="4" applyFont="1" applyFill="1" applyAlignment="1" applyProtection="1">
      <alignment vertical="center"/>
      <protection hidden="1"/>
    </xf>
    <xf numFmtId="0" fontId="15" fillId="4" borderId="0" xfId="4" applyFont="1" applyFill="1" applyAlignment="1" applyProtection="1">
      <alignment horizontal="center" vertical="center"/>
      <protection hidden="1"/>
    </xf>
    <xf numFmtId="0" fontId="10" fillId="4" borderId="25" xfId="4" applyFont="1" applyFill="1" applyBorder="1" applyAlignment="1" applyProtection="1">
      <alignment horizontal="right" vertical="center"/>
      <protection hidden="1"/>
    </xf>
    <xf numFmtId="0" fontId="10" fillId="4" borderId="0" xfId="5" applyFont="1" applyFill="1" applyAlignment="1" applyProtection="1">
      <alignment vertical="center"/>
      <protection hidden="1"/>
    </xf>
    <xf numFmtId="0" fontId="15" fillId="4" borderId="18" xfId="4" applyFont="1" applyFill="1" applyBorder="1" applyAlignment="1" applyProtection="1">
      <alignment vertical="center"/>
      <protection hidden="1"/>
    </xf>
    <xf numFmtId="0" fontId="10" fillId="0" borderId="25" xfId="4" applyFont="1" applyBorder="1" applyAlignment="1" applyProtection="1">
      <alignment horizontal="center" vertical="center"/>
      <protection hidden="1"/>
    </xf>
    <xf numFmtId="0" fontId="10" fillId="0" borderId="26" xfId="4" applyFont="1" applyBorder="1" applyAlignment="1" applyProtection="1">
      <alignment horizontal="center" vertical="center"/>
      <protection hidden="1"/>
    </xf>
    <xf numFmtId="164" fontId="15" fillId="0" borderId="27" xfId="3" applyFont="1" applyFill="1" applyBorder="1" applyAlignment="1" applyProtection="1">
      <alignment horizontal="center" vertical="center" wrapText="1"/>
      <protection hidden="1"/>
    </xf>
    <xf numFmtId="0" fontId="15" fillId="0" borderId="28" xfId="4" applyFont="1" applyBorder="1" applyAlignment="1" applyProtection="1">
      <alignment horizontal="center" vertical="center"/>
      <protection hidden="1"/>
    </xf>
    <xf numFmtId="0" fontId="15" fillId="0" borderId="31" xfId="4" applyFont="1" applyBorder="1" applyAlignment="1" applyProtection="1">
      <alignment horizontal="center" vertical="center"/>
      <protection hidden="1"/>
    </xf>
    <xf numFmtId="0" fontId="10" fillId="0" borderId="2" xfId="4" applyFont="1" applyBorder="1" applyAlignment="1" applyProtection="1">
      <alignment vertical="center"/>
      <protection hidden="1"/>
    </xf>
    <xf numFmtId="0" fontId="10" fillId="0" borderId="3" xfId="4" applyFont="1" applyBorder="1" applyAlignment="1" applyProtection="1">
      <alignment vertical="center"/>
      <protection hidden="1"/>
    </xf>
    <xf numFmtId="0" fontId="10" fillId="0" borderId="4" xfId="4" applyFont="1" applyBorder="1" applyAlignment="1" applyProtection="1">
      <alignment vertical="center"/>
      <protection hidden="1"/>
    </xf>
    <xf numFmtId="164" fontId="15" fillId="0" borderId="1" xfId="3" applyFont="1" applyFill="1" applyBorder="1" applyAlignment="1" applyProtection="1">
      <alignment horizontal="center" vertical="center" wrapText="1"/>
      <protection hidden="1"/>
    </xf>
    <xf numFmtId="0" fontId="10" fillId="6" borderId="35" xfId="4" applyFont="1" applyFill="1" applyBorder="1" applyAlignment="1" applyProtection="1">
      <alignment vertical="center"/>
      <protection hidden="1"/>
    </xf>
    <xf numFmtId="0" fontId="10" fillId="6" borderId="35" xfId="4" applyFont="1" applyFill="1" applyBorder="1" applyAlignment="1" applyProtection="1">
      <alignment vertical="center" wrapText="1"/>
      <protection hidden="1"/>
    </xf>
    <xf numFmtId="0" fontId="15" fillId="6" borderId="18" xfId="4" applyFont="1" applyFill="1" applyBorder="1" applyAlignment="1" applyProtection="1">
      <alignment vertical="center" wrapText="1"/>
      <protection hidden="1"/>
    </xf>
    <xf numFmtId="0" fontId="10" fillId="4" borderId="26" xfId="4" applyFont="1" applyFill="1" applyBorder="1" applyAlignment="1" applyProtection="1">
      <alignment horizontal="center" vertical="center"/>
      <protection hidden="1"/>
    </xf>
    <xf numFmtId="0" fontId="15" fillId="4" borderId="26" xfId="4" applyFont="1" applyFill="1" applyBorder="1" applyAlignment="1" applyProtection="1">
      <alignment horizontal="center" vertical="center"/>
      <protection hidden="1"/>
    </xf>
    <xf numFmtId="0" fontId="10" fillId="0" borderId="44" xfId="4" applyFont="1" applyBorder="1" applyAlignment="1" applyProtection="1">
      <alignment horizontal="center" vertical="center"/>
      <protection hidden="1"/>
    </xf>
    <xf numFmtId="0" fontId="15" fillId="0" borderId="26" xfId="4" applyFont="1" applyBorder="1" applyAlignment="1" applyProtection="1">
      <alignment horizontal="center" vertical="center"/>
      <protection hidden="1"/>
    </xf>
    <xf numFmtId="0" fontId="10" fillId="0" borderId="47" xfId="4" applyFont="1" applyBorder="1" applyAlignment="1" applyProtection="1">
      <alignment horizontal="center" vertical="center"/>
      <protection hidden="1"/>
    </xf>
    <xf numFmtId="0" fontId="15" fillId="4" borderId="51" xfId="4" applyFont="1" applyFill="1" applyBorder="1" applyAlignment="1" applyProtection="1">
      <alignment horizontal="center" vertical="center"/>
      <protection hidden="1"/>
    </xf>
    <xf numFmtId="0" fontId="15" fillId="0" borderId="51" xfId="4" applyFont="1" applyBorder="1" applyAlignment="1" applyProtection="1">
      <alignment horizontal="center" vertical="center"/>
      <protection hidden="1"/>
    </xf>
    <xf numFmtId="0" fontId="10" fillId="4" borderId="44" xfId="4" applyFont="1" applyFill="1" applyBorder="1" applyAlignment="1" applyProtection="1">
      <alignment horizontal="center" vertical="center"/>
      <protection hidden="1"/>
    </xf>
    <xf numFmtId="0" fontId="10" fillId="4" borderId="51" xfId="4" applyFont="1" applyFill="1" applyBorder="1" applyAlignment="1" applyProtection="1">
      <alignment horizontal="center" vertical="center"/>
      <protection hidden="1"/>
    </xf>
    <xf numFmtId="0" fontId="10" fillId="0" borderId="59" xfId="4" applyFont="1" applyBorder="1" applyAlignment="1" applyProtection="1">
      <alignment horizontal="center" vertical="center"/>
      <protection hidden="1"/>
    </xf>
    <xf numFmtId="0" fontId="10" fillId="6" borderId="14" xfId="4" applyFont="1" applyFill="1" applyBorder="1" applyAlignment="1" applyProtection="1">
      <alignment vertical="center"/>
      <protection hidden="1"/>
    </xf>
    <xf numFmtId="0" fontId="10" fillId="6" borderId="0" xfId="4" applyFont="1" applyFill="1" applyAlignment="1" applyProtection="1">
      <alignment vertical="center"/>
      <protection hidden="1"/>
    </xf>
    <xf numFmtId="0" fontId="10" fillId="6" borderId="63" xfId="4" applyFont="1" applyFill="1" applyBorder="1" applyAlignment="1" applyProtection="1">
      <alignment vertical="center"/>
      <protection hidden="1"/>
    </xf>
    <xf numFmtId="0" fontId="15" fillId="4" borderId="0" xfId="4" applyFont="1" applyFill="1" applyAlignment="1" applyProtection="1">
      <alignment horizontal="right" vertical="center"/>
      <protection hidden="1"/>
    </xf>
    <xf numFmtId="0" fontId="10" fillId="4" borderId="18" xfId="4" applyFont="1" applyFill="1" applyBorder="1" applyAlignment="1" applyProtection="1">
      <alignment vertical="center"/>
      <protection hidden="1"/>
    </xf>
    <xf numFmtId="0" fontId="15" fillId="4" borderId="0" xfId="4" applyFont="1" applyFill="1" applyAlignment="1" applyProtection="1">
      <alignment vertical="center" wrapText="1"/>
      <protection hidden="1"/>
    </xf>
    <xf numFmtId="3" fontId="15" fillId="4" borderId="0" xfId="4" applyNumberFormat="1" applyFont="1" applyFill="1" applyAlignment="1" applyProtection="1">
      <alignment vertical="center"/>
      <protection hidden="1"/>
    </xf>
    <xf numFmtId="0" fontId="10" fillId="6" borderId="69" xfId="4" applyFont="1" applyFill="1" applyBorder="1" applyAlignment="1" applyProtection="1">
      <alignment vertical="center"/>
      <protection hidden="1"/>
    </xf>
    <xf numFmtId="0" fontId="10" fillId="6" borderId="30" xfId="4" applyFont="1" applyFill="1" applyBorder="1" applyAlignment="1" applyProtection="1">
      <alignment vertical="center"/>
      <protection hidden="1"/>
    </xf>
    <xf numFmtId="0" fontId="10" fillId="0" borderId="32" xfId="5" applyFont="1" applyBorder="1" applyAlignment="1" applyProtection="1">
      <alignment vertical="center"/>
      <protection hidden="1"/>
    </xf>
    <xf numFmtId="0" fontId="10" fillId="6" borderId="70" xfId="4" applyFont="1" applyFill="1" applyBorder="1" applyAlignment="1" applyProtection="1">
      <alignment vertical="center"/>
      <protection hidden="1"/>
    </xf>
    <xf numFmtId="0" fontId="10" fillId="6" borderId="57" xfId="4" applyFont="1" applyFill="1" applyBorder="1" applyAlignment="1" applyProtection="1">
      <alignment horizontal="center" vertical="center"/>
      <protection hidden="1"/>
    </xf>
    <xf numFmtId="0" fontId="15" fillId="0" borderId="14" xfId="4" applyFont="1" applyBorder="1" applyAlignment="1" applyProtection="1">
      <alignment horizontal="left" vertical="center"/>
      <protection hidden="1"/>
    </xf>
    <xf numFmtId="0" fontId="15" fillId="0" borderId="25" xfId="4" applyFont="1" applyBorder="1" applyAlignment="1" applyProtection="1">
      <alignment horizontal="left" vertical="center"/>
      <protection hidden="1"/>
    </xf>
    <xf numFmtId="0" fontId="10" fillId="6" borderId="19" xfId="4" applyFont="1" applyFill="1" applyBorder="1" applyAlignment="1" applyProtection="1">
      <alignment horizontal="center" vertical="center" wrapText="1"/>
      <protection hidden="1"/>
    </xf>
    <xf numFmtId="0" fontId="10" fillId="6" borderId="20" xfId="4" applyFont="1" applyFill="1" applyBorder="1" applyAlignment="1" applyProtection="1">
      <alignment horizontal="center" vertical="center" wrapText="1"/>
      <protection hidden="1"/>
    </xf>
    <xf numFmtId="0" fontId="10" fillId="6" borderId="21" xfId="4" applyFont="1" applyFill="1" applyBorder="1" applyAlignment="1" applyProtection="1">
      <alignment horizontal="center" vertical="center" wrapText="1"/>
      <protection hidden="1"/>
    </xf>
    <xf numFmtId="0" fontId="15" fillId="6" borderId="14" xfId="4" applyFont="1" applyFill="1" applyBorder="1" applyAlignment="1" applyProtection="1">
      <alignment horizontal="center" vertical="center" wrapText="1"/>
      <protection hidden="1"/>
    </xf>
    <xf numFmtId="0" fontId="15" fillId="6" borderId="0" xfId="4" applyFont="1" applyFill="1" applyAlignment="1" applyProtection="1">
      <alignment horizontal="center" vertical="center" wrapText="1"/>
      <protection hidden="1"/>
    </xf>
    <xf numFmtId="0" fontId="15" fillId="6" borderId="18" xfId="4" applyFont="1" applyFill="1" applyBorder="1" applyAlignment="1" applyProtection="1">
      <alignment horizontal="center" vertical="center" wrapText="1"/>
      <protection hidden="1"/>
    </xf>
    <xf numFmtId="0" fontId="10" fillId="6" borderId="14" xfId="4" applyFont="1" applyFill="1" applyBorder="1" applyAlignment="1" applyProtection="1">
      <alignment horizontal="left" vertical="center"/>
      <protection hidden="1"/>
    </xf>
    <xf numFmtId="0" fontId="10" fillId="6" borderId="0" xfId="4" applyFont="1" applyFill="1" applyAlignment="1" applyProtection="1">
      <alignment horizontal="left" vertical="center"/>
      <protection hidden="1"/>
    </xf>
    <xf numFmtId="0" fontId="10" fillId="6" borderId="19" xfId="4" applyFont="1" applyFill="1" applyBorder="1" applyAlignment="1" applyProtection="1">
      <alignment horizontal="center" vertical="center"/>
      <protection hidden="1"/>
    </xf>
    <xf numFmtId="0" fontId="15" fillId="0" borderId="66" xfId="4" applyFont="1" applyBorder="1" applyAlignment="1" applyProtection="1">
      <alignment horizontal="center" vertical="center" textRotation="90" wrapText="1"/>
      <protection hidden="1"/>
    </xf>
    <xf numFmtId="0" fontId="15" fillId="0" borderId="67" xfId="4" applyFont="1" applyBorder="1" applyAlignment="1" applyProtection="1">
      <alignment horizontal="center" vertical="center" textRotation="90" wrapText="1"/>
      <protection hidden="1"/>
    </xf>
    <xf numFmtId="0" fontId="10" fillId="4" borderId="0" xfId="4" applyFont="1" applyFill="1" applyAlignment="1" applyProtection="1">
      <alignment horizontal="center" vertical="center"/>
      <protection hidden="1"/>
    </xf>
    <xf numFmtId="0" fontId="10" fillId="6" borderId="20" xfId="4" applyFont="1" applyFill="1" applyBorder="1" applyAlignment="1" applyProtection="1">
      <alignment horizontal="center" vertical="center"/>
      <protection hidden="1"/>
    </xf>
    <xf numFmtId="0" fontId="15" fillId="0" borderId="0" xfId="4" applyFont="1" applyAlignment="1" applyProtection="1">
      <alignment horizontal="left" vertical="center"/>
      <protection hidden="1"/>
    </xf>
    <xf numFmtId="0" fontId="15" fillId="0" borderId="0" xfId="4" applyFont="1" applyAlignment="1" applyProtection="1">
      <alignment vertical="center"/>
      <protection hidden="1"/>
    </xf>
    <xf numFmtId="0" fontId="10" fillId="0" borderId="14" xfId="4" applyFont="1" applyBorder="1" applyAlignment="1" applyProtection="1">
      <alignment horizontal="center" vertical="center"/>
      <protection hidden="1"/>
    </xf>
    <xf numFmtId="0" fontId="10" fillId="0" borderId="0" xfId="4" applyFont="1" applyAlignment="1" applyProtection="1">
      <alignment horizontal="center" vertical="center"/>
      <protection hidden="1"/>
    </xf>
    <xf numFmtId="0" fontId="10" fillId="9" borderId="26" xfId="4" applyFont="1" applyFill="1" applyBorder="1" applyAlignment="1" applyProtection="1">
      <alignment horizontal="center" vertical="center"/>
      <protection hidden="1"/>
    </xf>
    <xf numFmtId="0" fontId="15" fillId="9" borderId="51" xfId="4" applyFont="1" applyFill="1" applyBorder="1" applyAlignment="1" applyProtection="1">
      <alignment horizontal="center" vertical="center"/>
      <protection hidden="1"/>
    </xf>
    <xf numFmtId="0" fontId="10" fillId="9" borderId="47" xfId="4" applyFont="1" applyFill="1" applyBorder="1" applyAlignment="1" applyProtection="1">
      <alignment horizontal="center" vertical="center"/>
      <protection hidden="1"/>
    </xf>
    <xf numFmtId="0" fontId="15" fillId="0" borderId="0" xfId="4" applyFont="1" applyAlignment="1" applyProtection="1">
      <alignment vertical="center" textRotation="90" wrapText="1"/>
      <protection hidden="1"/>
    </xf>
    <xf numFmtId="0" fontId="0" fillId="0" borderId="6" xfId="0" applyBorder="1" applyProtection="1">
      <protection hidden="1"/>
    </xf>
    <xf numFmtId="0" fontId="0" fillId="0" borderId="11" xfId="0" applyBorder="1" applyProtection="1">
      <protection hidden="1"/>
    </xf>
    <xf numFmtId="0" fontId="0" fillId="0" borderId="14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0" borderId="21" xfId="0" applyBorder="1" applyProtection="1">
      <protection hidden="1"/>
    </xf>
    <xf numFmtId="0" fontId="15" fillId="0" borderId="76" xfId="4" applyFont="1" applyBorder="1" applyAlignment="1" applyProtection="1">
      <alignment horizontal="center" vertical="center"/>
      <protection hidden="1"/>
    </xf>
    <xf numFmtId="0" fontId="1" fillId="4" borderId="47" xfId="0" applyFont="1" applyFill="1" applyBorder="1" applyAlignment="1" applyProtection="1">
      <alignment horizontal="center"/>
      <protection hidden="1"/>
    </xf>
    <xf numFmtId="0" fontId="1" fillId="0" borderId="47" xfId="0" applyFont="1" applyBorder="1" applyAlignment="1" applyProtection="1">
      <alignment horizontal="center"/>
      <protection hidden="1"/>
    </xf>
    <xf numFmtId="0" fontId="1" fillId="4" borderId="77" xfId="0" applyFont="1" applyFill="1" applyBorder="1" applyAlignment="1" applyProtection="1">
      <alignment horizontal="center"/>
      <protection hidden="1"/>
    </xf>
    <xf numFmtId="0" fontId="0" fillId="4" borderId="47" xfId="0" applyFill="1" applyBorder="1" applyAlignment="1" applyProtection="1">
      <alignment horizontal="center" wrapText="1"/>
      <protection hidden="1"/>
    </xf>
    <xf numFmtId="0" fontId="10" fillId="0" borderId="51" xfId="4" applyFont="1" applyBorder="1" applyAlignment="1" applyProtection="1">
      <alignment horizontal="center" vertical="center"/>
      <protection hidden="1"/>
    </xf>
    <xf numFmtId="0" fontId="10" fillId="4" borderId="47" xfId="4" applyFont="1" applyFill="1" applyBorder="1" applyAlignment="1" applyProtection="1">
      <alignment horizontal="center" vertical="center"/>
      <protection hidden="1"/>
    </xf>
    <xf numFmtId="0" fontId="10" fillId="6" borderId="0" xfId="4" applyFont="1" applyFill="1" applyAlignment="1" applyProtection="1">
      <alignment horizontal="center" vertical="center" wrapText="1"/>
      <protection hidden="1"/>
    </xf>
    <xf numFmtId="0" fontId="10" fillId="4" borderId="80" xfId="4" applyFont="1" applyFill="1" applyBorder="1" applyAlignment="1" applyProtection="1">
      <alignment horizontal="center" vertical="center"/>
      <protection hidden="1"/>
    </xf>
    <xf numFmtId="0" fontId="15" fillId="0" borderId="79" xfId="4" applyFont="1" applyBorder="1" applyAlignment="1" applyProtection="1">
      <alignment vertical="center" textRotation="90" wrapText="1"/>
      <protection hidden="1"/>
    </xf>
    <xf numFmtId="0" fontId="15" fillId="0" borderId="20" xfId="4" applyFont="1" applyBorder="1" applyAlignment="1" applyProtection="1">
      <alignment vertical="center" textRotation="90" wrapText="1"/>
      <protection hidden="1"/>
    </xf>
    <xf numFmtId="0" fontId="15" fillId="0" borderId="73" xfId="4" applyFont="1" applyBorder="1" applyAlignment="1" applyProtection="1">
      <alignment vertical="center" textRotation="90" wrapText="1"/>
      <protection hidden="1"/>
    </xf>
    <xf numFmtId="0" fontId="15" fillId="0" borderId="74" xfId="4" applyFont="1" applyBorder="1" applyAlignment="1" applyProtection="1">
      <alignment vertical="center" textRotation="90" wrapText="1"/>
      <protection hidden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14" xfId="0" applyBorder="1" applyProtection="1">
      <protection locked="0"/>
    </xf>
    <xf numFmtId="0" fontId="0" fillId="0" borderId="18" xfId="0" applyBorder="1" applyProtection="1">
      <protection locked="0"/>
    </xf>
    <xf numFmtId="0" fontId="1" fillId="0" borderId="1" xfId="0" applyFont="1" applyBorder="1" applyAlignment="1" applyProtection="1">
      <alignment horizontal="center"/>
      <protection locked="0"/>
    </xf>
    <xf numFmtId="168" fontId="0" fillId="0" borderId="1" xfId="1" applyNumberFormat="1" applyFont="1" applyBorder="1" applyAlignment="1" applyProtection="1">
      <alignment horizontal="center"/>
      <protection locked="0"/>
    </xf>
    <xf numFmtId="0" fontId="7" fillId="0" borderId="0" xfId="0" applyFont="1" applyProtection="1">
      <protection locked="0"/>
    </xf>
    <xf numFmtId="0" fontId="0" fillId="0" borderId="19" xfId="0" applyBorder="1" applyProtection="1">
      <protection locked="0"/>
    </xf>
    <xf numFmtId="0" fontId="0" fillId="0" borderId="20" xfId="0" applyBorder="1" applyProtection="1">
      <protection locked="0"/>
    </xf>
    <xf numFmtId="0" fontId="0" fillId="0" borderId="21" xfId="0" applyBorder="1" applyProtection="1">
      <protection locked="0"/>
    </xf>
    <xf numFmtId="0" fontId="7" fillId="0" borderId="18" xfId="0" applyFont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Protection="1">
      <protection locked="0"/>
    </xf>
    <xf numFmtId="0" fontId="0" fillId="3" borderId="1" xfId="0" applyFill="1" applyBorder="1"/>
    <xf numFmtId="0" fontId="25" fillId="0" borderId="0" xfId="0" applyFont="1" applyProtection="1">
      <protection hidden="1"/>
    </xf>
    <xf numFmtId="0" fontId="1" fillId="0" borderId="0" xfId="0" applyFont="1"/>
    <xf numFmtId="0" fontId="8" fillId="7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22" fillId="8" borderId="1" xfId="0" applyFont="1" applyFill="1" applyBorder="1" applyAlignment="1">
      <alignment horizontal="center"/>
    </xf>
    <xf numFmtId="0" fontId="23" fillId="2" borderId="1" xfId="0" applyFont="1" applyFill="1" applyBorder="1"/>
    <xf numFmtId="168" fontId="0" fillId="0" borderId="1" xfId="1" applyNumberFormat="1" applyFont="1" applyBorder="1" applyAlignment="1" applyProtection="1">
      <alignment horizontal="center"/>
    </xf>
    <xf numFmtId="168" fontId="0" fillId="0" borderId="0" xfId="1" applyNumberFormat="1" applyFont="1" applyProtection="1"/>
    <xf numFmtId="0" fontId="10" fillId="0" borderId="6" xfId="4" applyFont="1" applyBorder="1" applyAlignment="1" applyProtection="1">
      <alignment vertical="center"/>
      <protection locked="0" hidden="1"/>
    </xf>
    <xf numFmtId="0" fontId="10" fillId="0" borderId="7" xfId="4" applyFont="1" applyBorder="1" applyAlignment="1" applyProtection="1">
      <alignment vertical="center"/>
      <protection locked="0" hidden="1"/>
    </xf>
    <xf numFmtId="0" fontId="15" fillId="0" borderId="22" xfId="4" applyFont="1" applyBorder="1" applyAlignment="1" applyProtection="1">
      <alignment horizontal="center" vertical="center"/>
      <protection locked="0" hidden="1"/>
    </xf>
    <xf numFmtId="0" fontId="15" fillId="0" borderId="23" xfId="4" applyFont="1" applyBorder="1" applyAlignment="1" applyProtection="1">
      <alignment horizontal="center" vertical="center"/>
      <protection locked="0" hidden="1"/>
    </xf>
    <xf numFmtId="0" fontId="15" fillId="0" borderId="24" xfId="4" applyFont="1" applyBorder="1" applyAlignment="1" applyProtection="1">
      <alignment horizontal="center" vertical="center"/>
      <protection locked="0" hidden="1"/>
    </xf>
    <xf numFmtId="0" fontId="10" fillId="6" borderId="6" xfId="4" applyFont="1" applyFill="1" applyBorder="1" applyAlignment="1" applyProtection="1">
      <alignment vertical="center"/>
      <protection locked="0" hidden="1"/>
    </xf>
    <xf numFmtId="0" fontId="15" fillId="6" borderId="7" xfId="4" applyFont="1" applyFill="1" applyBorder="1" applyAlignment="1" applyProtection="1">
      <alignment horizontal="left" vertical="center"/>
      <protection locked="0" hidden="1"/>
    </xf>
    <xf numFmtId="0" fontId="10" fillId="6" borderId="7" xfId="4" applyFont="1" applyFill="1" applyBorder="1" applyAlignment="1" applyProtection="1">
      <alignment vertical="center"/>
      <protection locked="0" hidden="1"/>
    </xf>
    <xf numFmtId="0" fontId="10" fillId="6" borderId="11" xfId="4" applyFont="1" applyFill="1" applyBorder="1" applyAlignment="1" applyProtection="1">
      <alignment vertical="center"/>
      <protection locked="0" hidden="1"/>
    </xf>
    <xf numFmtId="0" fontId="16" fillId="0" borderId="14" xfId="4" applyFont="1" applyBorder="1" applyAlignment="1" applyProtection="1">
      <alignment vertical="center" wrapText="1"/>
      <protection locked="0" hidden="1"/>
    </xf>
    <xf numFmtId="0" fontId="16" fillId="0" borderId="0" xfId="4" applyFont="1" applyAlignment="1" applyProtection="1">
      <alignment vertical="center" wrapText="1"/>
      <protection locked="0" hidden="1"/>
    </xf>
    <xf numFmtId="0" fontId="16" fillId="0" borderId="0" xfId="4" applyFont="1" applyAlignment="1" applyProtection="1">
      <alignment vertical="center"/>
      <protection locked="0" hidden="1"/>
    </xf>
    <xf numFmtId="0" fontId="17" fillId="0" borderId="0" xfId="4" applyFont="1" applyAlignment="1" applyProtection="1">
      <alignment vertical="center" wrapText="1"/>
      <protection locked="0" hidden="1"/>
    </xf>
    <xf numFmtId="0" fontId="10" fillId="0" borderId="14" xfId="4" applyFont="1" applyBorder="1" applyAlignment="1" applyProtection="1">
      <alignment horizontal="center" vertical="center"/>
      <protection locked="0" hidden="1"/>
    </xf>
    <xf numFmtId="0" fontId="9" fillId="6" borderId="0" xfId="4" applyFill="1" applyAlignment="1" applyProtection="1">
      <alignment horizontal="left" vertical="center"/>
      <protection locked="0" hidden="1"/>
    </xf>
    <xf numFmtId="0" fontId="10" fillId="0" borderId="0" xfId="4" applyFont="1" applyAlignment="1" applyProtection="1">
      <alignment horizontal="center" vertical="center"/>
      <protection locked="0" hidden="1"/>
    </xf>
    <xf numFmtId="0" fontId="10" fillId="0" borderId="18" xfId="4" applyFont="1" applyBorder="1" applyAlignment="1" applyProtection="1">
      <alignment horizontal="center" vertical="center"/>
      <protection locked="0" hidden="1"/>
    </xf>
    <xf numFmtId="0" fontId="18" fillId="0" borderId="0" xfId="4" applyFont="1" applyAlignment="1" applyProtection="1">
      <alignment vertical="center" wrapText="1"/>
      <protection locked="0" hidden="1"/>
    </xf>
    <xf numFmtId="0" fontId="10" fillId="0" borderId="6" xfId="4" applyFont="1" applyBorder="1" applyAlignment="1" applyProtection="1">
      <alignment horizontal="center" vertical="center"/>
      <protection locked="0" hidden="1"/>
    </xf>
    <xf numFmtId="0" fontId="10" fillId="0" borderId="7" xfId="4" applyFont="1" applyBorder="1" applyAlignment="1" applyProtection="1">
      <alignment horizontal="center" vertical="center"/>
      <protection locked="0" hidden="1"/>
    </xf>
    <xf numFmtId="0" fontId="10" fillId="0" borderId="11" xfId="4" applyFont="1" applyBorder="1" applyAlignment="1" applyProtection="1">
      <alignment horizontal="center" vertical="center"/>
      <protection locked="0" hidden="1"/>
    </xf>
    <xf numFmtId="0" fontId="19" fillId="0" borderId="0" xfId="4" applyFont="1" applyAlignment="1" applyProtection="1">
      <alignment horizontal="right" vertical="center" wrapText="1"/>
      <protection locked="0" hidden="1"/>
    </xf>
    <xf numFmtId="0" fontId="16" fillId="0" borderId="19" xfId="4" applyFont="1" applyBorder="1" applyAlignment="1" applyProtection="1">
      <alignment vertical="center" wrapText="1"/>
      <protection locked="0" hidden="1"/>
    </xf>
    <xf numFmtId="0" fontId="16" fillId="0" borderId="20" xfId="4" applyFont="1" applyBorder="1" applyAlignment="1" applyProtection="1">
      <alignment vertical="center" wrapText="1"/>
      <protection locked="0" hidden="1"/>
    </xf>
    <xf numFmtId="0" fontId="16" fillId="0" borderId="20" xfId="4" applyFont="1" applyBorder="1" applyAlignment="1" applyProtection="1">
      <alignment vertical="center"/>
      <protection locked="0" hidden="1"/>
    </xf>
    <xf numFmtId="0" fontId="10" fillId="0" borderId="0" xfId="4" applyFont="1" applyAlignment="1" applyProtection="1">
      <alignment vertical="center"/>
      <protection locked="0" hidden="1"/>
    </xf>
    <xf numFmtId="0" fontId="15" fillId="0" borderId="0" xfId="4" applyFont="1" applyAlignment="1" applyProtection="1">
      <alignment vertical="center"/>
      <protection locked="0" hidden="1"/>
    </xf>
    <xf numFmtId="0" fontId="15" fillId="0" borderId="0" xfId="4" applyFont="1" applyAlignment="1" applyProtection="1">
      <alignment horizontal="center" vertical="center"/>
      <protection locked="0" hidden="1"/>
    </xf>
    <xf numFmtId="0" fontId="10" fillId="0" borderId="25" xfId="4" applyFont="1" applyBorder="1" applyAlignment="1" applyProtection="1">
      <alignment horizontal="right" vertical="center"/>
      <protection locked="0" hidden="1"/>
    </xf>
    <xf numFmtId="0" fontId="10" fillId="0" borderId="0" xfId="5" applyFont="1" applyAlignment="1" applyProtection="1">
      <alignment vertical="center"/>
      <protection locked="0" hidden="1"/>
    </xf>
    <xf numFmtId="0" fontId="15" fillId="0" borderId="18" xfId="4" applyFont="1" applyBorder="1" applyAlignment="1" applyProtection="1">
      <alignment vertical="center"/>
      <protection locked="0" hidden="1"/>
    </xf>
    <xf numFmtId="164" fontId="15" fillId="0" borderId="27" xfId="3" applyFont="1" applyFill="1" applyBorder="1" applyAlignment="1" applyProtection="1">
      <alignment horizontal="center" vertical="center" wrapText="1"/>
      <protection locked="0" hidden="1"/>
    </xf>
    <xf numFmtId="0" fontId="15" fillId="0" borderId="28" xfId="4" applyFont="1" applyBorder="1" applyAlignment="1" applyProtection="1">
      <alignment horizontal="center" vertical="center"/>
      <protection locked="0" hidden="1"/>
    </xf>
    <xf numFmtId="0" fontId="15" fillId="0" borderId="31" xfId="4" applyFont="1" applyBorder="1" applyAlignment="1" applyProtection="1">
      <alignment horizontal="center" vertical="center"/>
      <protection locked="0" hidden="1"/>
    </xf>
    <xf numFmtId="164" fontId="15" fillId="0" borderId="1" xfId="3" applyFont="1" applyFill="1" applyBorder="1" applyAlignment="1" applyProtection="1">
      <alignment horizontal="center" vertical="center" wrapText="1"/>
      <protection locked="0" hidden="1"/>
    </xf>
    <xf numFmtId="0" fontId="10" fillId="6" borderId="2" xfId="4" applyFont="1" applyFill="1" applyBorder="1" applyAlignment="1" applyProtection="1">
      <alignment vertical="center"/>
      <protection locked="0" hidden="1"/>
    </xf>
    <xf numFmtId="0" fontId="10" fillId="6" borderId="3" xfId="4" applyFont="1" applyFill="1" applyBorder="1" applyAlignment="1" applyProtection="1">
      <alignment vertical="center"/>
      <protection locked="0" hidden="1"/>
    </xf>
    <xf numFmtId="0" fontId="10" fillId="6" borderId="4" xfId="4" applyFont="1" applyFill="1" applyBorder="1" applyAlignment="1" applyProtection="1">
      <alignment vertical="center"/>
      <protection locked="0" hidden="1"/>
    </xf>
    <xf numFmtId="0" fontId="15" fillId="6" borderId="1" xfId="4" applyFont="1" applyFill="1" applyBorder="1" applyAlignment="1" applyProtection="1">
      <alignment vertical="center" wrapText="1"/>
      <protection locked="0" hidden="1"/>
    </xf>
    <xf numFmtId="0" fontId="10" fillId="6" borderId="1" xfId="4" applyFont="1" applyFill="1" applyBorder="1" applyAlignment="1" applyProtection="1">
      <alignment vertical="top" wrapText="1"/>
      <protection locked="0" hidden="1"/>
    </xf>
    <xf numFmtId="0" fontId="10" fillId="6" borderId="1" xfId="4" applyFont="1" applyFill="1" applyBorder="1" applyAlignment="1" applyProtection="1">
      <alignment vertical="center"/>
      <protection locked="0" hidden="1"/>
    </xf>
    <xf numFmtId="0" fontId="10" fillId="6" borderId="1" xfId="4" applyFont="1" applyFill="1" applyBorder="1" applyAlignment="1" applyProtection="1">
      <alignment horizontal="center" vertical="center" wrapText="1"/>
      <protection locked="0" hidden="1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10" borderId="0" xfId="0" applyFill="1" applyAlignment="1" applyProtection="1">
      <alignment horizontal="center"/>
      <protection locked="0"/>
    </xf>
    <xf numFmtId="0" fontId="0" fillId="10" borderId="79" xfId="0" applyFill="1" applyBorder="1" applyProtection="1">
      <protection locked="0"/>
    </xf>
    <xf numFmtId="0" fontId="1" fillId="0" borderId="85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10" borderId="0" xfId="0" applyFill="1" applyProtection="1">
      <protection locked="0"/>
    </xf>
    <xf numFmtId="0" fontId="0" fillId="0" borderId="85" xfId="0" applyBorder="1" applyAlignment="1" applyProtection="1">
      <alignment horizontal="center"/>
      <protection locked="0"/>
    </xf>
    <xf numFmtId="0" fontId="0" fillId="0" borderId="93" xfId="0" applyBorder="1" applyAlignment="1" applyProtection="1">
      <alignment horizontal="center"/>
      <protection locked="0"/>
    </xf>
    <xf numFmtId="0" fontId="1" fillId="0" borderId="70" xfId="0" applyFont="1" applyBorder="1" applyAlignment="1" applyProtection="1">
      <alignment horizontal="center"/>
      <protection locked="0"/>
    </xf>
    <xf numFmtId="0" fontId="0" fillId="0" borderId="94" xfId="0" applyBorder="1" applyAlignment="1" applyProtection="1">
      <alignment horizontal="center"/>
      <protection locked="0"/>
    </xf>
    <xf numFmtId="0" fontId="0" fillId="0" borderId="73" xfId="0" applyBorder="1" applyProtection="1">
      <protection locked="0"/>
    </xf>
    <xf numFmtId="0" fontId="1" fillId="0" borderId="94" xfId="0" applyFont="1" applyBorder="1" applyAlignment="1" applyProtection="1">
      <alignment horizontal="center"/>
      <protection locked="0"/>
    </xf>
    <xf numFmtId="0" fontId="0" fillId="0" borderId="103" xfId="0" applyBorder="1" applyProtection="1">
      <protection locked="0"/>
    </xf>
    <xf numFmtId="0" fontId="1" fillId="0" borderId="95" xfId="0" applyFont="1" applyBorder="1" applyAlignment="1" applyProtection="1">
      <alignment horizontal="center"/>
      <protection locked="0"/>
    </xf>
    <xf numFmtId="0" fontId="31" fillId="0" borderId="37" xfId="0" applyFont="1" applyBorder="1" applyAlignment="1" applyProtection="1">
      <alignment horizontal="left"/>
      <protection locked="0"/>
    </xf>
    <xf numFmtId="0" fontId="31" fillId="0" borderId="1" xfId="0" applyFont="1" applyBorder="1" applyAlignment="1" applyProtection="1">
      <alignment horizontal="left"/>
      <protection locked="0"/>
    </xf>
    <xf numFmtId="0" fontId="31" fillId="0" borderId="38" xfId="0" applyFont="1" applyBorder="1" applyAlignment="1" applyProtection="1">
      <alignment horizontal="left"/>
      <protection locked="0"/>
    </xf>
    <xf numFmtId="0" fontId="0" fillId="0" borderId="93" xfId="0" applyBorder="1" applyProtection="1">
      <protection locked="0"/>
    </xf>
    <xf numFmtId="0" fontId="0" fillId="0" borderId="94" xfId="0" applyBorder="1" applyProtection="1">
      <protection locked="0"/>
    </xf>
    <xf numFmtId="0" fontId="1" fillId="0" borderId="71" xfId="0" applyFont="1" applyBorder="1" applyProtection="1">
      <protection locked="0"/>
    </xf>
    <xf numFmtId="0" fontId="1" fillId="0" borderId="94" xfId="0" applyFont="1" applyBorder="1" applyProtection="1">
      <protection locked="0"/>
    </xf>
    <xf numFmtId="0" fontId="0" fillId="0" borderId="70" xfId="0" applyBorder="1" applyProtection="1">
      <protection locked="0"/>
    </xf>
    <xf numFmtId="0" fontId="1" fillId="0" borderId="63" xfId="0" applyFont="1" applyBorder="1" applyProtection="1">
      <protection locked="0"/>
    </xf>
    <xf numFmtId="0" fontId="1" fillId="0" borderId="104" xfId="0" applyFont="1" applyBorder="1" applyProtection="1">
      <protection locked="0"/>
    </xf>
    <xf numFmtId="0" fontId="0" fillId="0" borderId="95" xfId="0" applyBorder="1" applyProtection="1">
      <protection locked="0"/>
    </xf>
    <xf numFmtId="0" fontId="1" fillId="0" borderId="103" xfId="0" applyFont="1" applyBorder="1" applyProtection="1">
      <protection locked="0"/>
    </xf>
    <xf numFmtId="0" fontId="0" fillId="0" borderId="101" xfId="0" applyBorder="1" applyProtection="1">
      <protection locked="0"/>
    </xf>
    <xf numFmtId="0" fontId="0" fillId="0" borderId="71" xfId="0" applyBorder="1" applyProtection="1">
      <protection locked="0"/>
    </xf>
    <xf numFmtId="0" fontId="1" fillId="0" borderId="85" xfId="0" applyFont="1" applyBorder="1" applyProtection="1">
      <protection locked="0"/>
    </xf>
    <xf numFmtId="0" fontId="0" fillId="0" borderId="85" xfId="0" applyBorder="1" applyProtection="1">
      <protection locked="0"/>
    </xf>
    <xf numFmtId="0" fontId="0" fillId="0" borderId="82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6" xfId="0" applyBorder="1" applyProtection="1">
      <protection locked="0"/>
    </xf>
    <xf numFmtId="0" fontId="1" fillId="0" borderId="7" xfId="0" applyFont="1" applyBorder="1" applyAlignment="1" applyProtection="1">
      <alignment vertical="center"/>
      <protection locked="0"/>
    </xf>
    <xf numFmtId="0" fontId="0" fillId="0" borderId="7" xfId="0" applyBorder="1" applyProtection="1">
      <protection locked="0"/>
    </xf>
    <xf numFmtId="0" fontId="1" fillId="0" borderId="11" xfId="0" applyFont="1" applyBorder="1" applyAlignment="1" applyProtection="1">
      <alignment vertical="center"/>
      <protection locked="0"/>
    </xf>
    <xf numFmtId="0" fontId="1" fillId="0" borderId="14" xfId="0" applyFont="1" applyBorder="1" applyAlignment="1" applyProtection="1">
      <alignment vertical="center"/>
      <protection locked="0"/>
    </xf>
    <xf numFmtId="0" fontId="1" fillId="0" borderId="0" xfId="0" applyFont="1" applyAlignment="1" applyProtection="1">
      <alignment vertical="center"/>
      <protection locked="0"/>
    </xf>
    <xf numFmtId="0" fontId="1" fillId="0" borderId="18" xfId="0" applyFont="1" applyBorder="1" applyAlignment="1" applyProtection="1">
      <alignment vertical="center"/>
      <protection locked="0"/>
    </xf>
    <xf numFmtId="0" fontId="1" fillId="0" borderId="19" xfId="0" applyFont="1" applyBorder="1" applyAlignment="1" applyProtection="1">
      <alignment vertical="center"/>
      <protection locked="0"/>
    </xf>
    <xf numFmtId="0" fontId="1" fillId="0" borderId="20" xfId="0" applyFont="1" applyBorder="1" applyAlignment="1" applyProtection="1">
      <alignment vertical="center"/>
      <protection locked="0"/>
    </xf>
    <xf numFmtId="0" fontId="1" fillId="0" borderId="21" xfId="0" applyFont="1" applyBorder="1" applyAlignment="1" applyProtection="1">
      <alignment vertical="center"/>
      <protection locked="0"/>
    </xf>
    <xf numFmtId="0" fontId="0" fillId="0" borderId="0" xfId="0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left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left"/>
      <protection locked="0"/>
    </xf>
    <xf numFmtId="167" fontId="0" fillId="0" borderId="1" xfId="0" applyNumberFormat="1" applyBorder="1" applyProtection="1">
      <protection locked="0"/>
    </xf>
    <xf numFmtId="0" fontId="0" fillId="0" borderId="0" xfId="0" applyAlignment="1">
      <alignment horizontal="left"/>
    </xf>
    <xf numFmtId="167" fontId="1" fillId="0" borderId="1" xfId="1" applyNumberFormat="1" applyFont="1" applyBorder="1" applyAlignment="1" applyProtection="1">
      <alignment horizontal="center"/>
      <protection locked="0"/>
    </xf>
    <xf numFmtId="168" fontId="0" fillId="0" borderId="1" xfId="1" applyNumberFormat="1" applyFont="1" applyBorder="1" applyProtection="1">
      <protection locked="0"/>
    </xf>
    <xf numFmtId="167" fontId="0" fillId="0" borderId="0" xfId="1" applyNumberFormat="1" applyFont="1" applyProtection="1">
      <protection locked="0"/>
    </xf>
    <xf numFmtId="167" fontId="0" fillId="0" borderId="0" xfId="1" applyNumberFormat="1" applyFont="1" applyBorder="1" applyProtection="1"/>
    <xf numFmtId="167" fontId="0" fillId="0" borderId="0" xfId="1" applyNumberFormat="1" applyFont="1" applyProtection="1"/>
    <xf numFmtId="167" fontId="4" fillId="0" borderId="0" xfId="1" applyNumberFormat="1" applyFont="1" applyAlignment="1" applyProtection="1"/>
    <xf numFmtId="0" fontId="35" fillId="12" borderId="106" xfId="0" applyFont="1" applyFill="1" applyBorder="1" applyAlignment="1">
      <alignment vertical="center" wrapText="1"/>
    </xf>
    <xf numFmtId="0" fontId="37" fillId="0" borderId="0" xfId="0" applyFont="1"/>
    <xf numFmtId="14" fontId="0" fillId="0" borderId="0" xfId="0" applyNumberFormat="1"/>
    <xf numFmtId="0" fontId="35" fillId="12" borderId="0" xfId="0" applyFont="1" applyFill="1" applyAlignment="1">
      <alignment vertical="center" wrapText="1"/>
    </xf>
    <xf numFmtId="0" fontId="1" fillId="0" borderId="1" xfId="0" applyFont="1" applyBorder="1" applyProtection="1">
      <protection locked="0"/>
    </xf>
    <xf numFmtId="168" fontId="0" fillId="0" borderId="0" xfId="1" applyNumberFormat="1" applyFont="1" applyProtection="1">
      <protection locked="0"/>
    </xf>
    <xf numFmtId="168" fontId="0" fillId="0" borderId="0" xfId="0" applyNumberFormat="1" applyProtection="1">
      <protection locked="0"/>
    </xf>
    <xf numFmtId="169" fontId="0" fillId="0" borderId="0" xfId="0" applyNumberFormat="1" applyProtection="1">
      <protection locked="0"/>
    </xf>
    <xf numFmtId="168" fontId="0" fillId="0" borderId="0" xfId="1" applyNumberFormat="1" applyFont="1" applyBorder="1" applyProtection="1">
      <protection locked="0"/>
    </xf>
    <xf numFmtId="49" fontId="0" fillId="0" borderId="1" xfId="0" applyNumberFormat="1" applyBorder="1"/>
    <xf numFmtId="168" fontId="0" fillId="0" borderId="1" xfId="1" applyNumberFormat="1" applyFont="1" applyBorder="1" applyProtection="1"/>
    <xf numFmtId="168" fontId="1" fillId="0" borderId="1" xfId="1" applyNumberFormat="1" applyFont="1" applyBorder="1" applyProtection="1"/>
    <xf numFmtId="168" fontId="1" fillId="0" borderId="1" xfId="0" applyNumberFormat="1" applyFont="1" applyBorder="1"/>
    <xf numFmtId="9" fontId="0" fillId="0" borderId="1" xfId="2" applyFont="1" applyBorder="1" applyProtection="1"/>
    <xf numFmtId="0" fontId="0" fillId="0" borderId="70" xfId="0" applyBorder="1"/>
    <xf numFmtId="168" fontId="0" fillId="0" borderId="68" xfId="1" applyNumberFormat="1" applyFont="1" applyBorder="1" applyProtection="1"/>
    <xf numFmtId="0" fontId="0" fillId="0" borderId="60" xfId="0" applyBorder="1"/>
    <xf numFmtId="168" fontId="0" fillId="0" borderId="11" xfId="1" applyNumberFormat="1" applyFont="1" applyBorder="1" applyProtection="1"/>
    <xf numFmtId="14" fontId="1" fillId="0" borderId="1" xfId="0" applyNumberFormat="1" applyFont="1" applyBorder="1" applyAlignment="1">
      <alignment horizontal="left"/>
    </xf>
    <xf numFmtId="14" fontId="1" fillId="0" borderId="1" xfId="1" applyNumberFormat="1" applyFont="1" applyBorder="1" applyAlignment="1" applyProtection="1">
      <alignment horizontal="left"/>
    </xf>
    <xf numFmtId="14" fontId="1" fillId="0" borderId="1" xfId="0" applyNumberFormat="1" applyFont="1" applyBorder="1"/>
    <xf numFmtId="168" fontId="1" fillId="0" borderId="1" xfId="1" applyNumberFormat="1" applyFont="1" applyBorder="1" applyAlignment="1" applyProtection="1">
      <alignment horizontal="left"/>
    </xf>
    <xf numFmtId="165" fontId="0" fillId="0" borderId="1" xfId="1" applyFont="1" applyBorder="1" applyProtection="1"/>
    <xf numFmtId="168" fontId="0" fillId="0" borderId="1" xfId="0" applyNumberFormat="1" applyBorder="1"/>
    <xf numFmtId="9" fontId="0" fillId="0" borderId="1" xfId="0" applyNumberFormat="1" applyBorder="1"/>
    <xf numFmtId="0" fontId="0" fillId="0" borderId="5" xfId="0" applyBorder="1"/>
    <xf numFmtId="168" fontId="0" fillId="0" borderId="5" xfId="1" applyNumberFormat="1" applyFont="1" applyBorder="1" applyProtection="1"/>
    <xf numFmtId="0" fontId="1" fillId="0" borderId="0" xfId="0" applyFont="1" applyProtection="1">
      <protection locked="0"/>
    </xf>
    <xf numFmtId="0" fontId="1" fillId="0" borderId="14" xfId="0" applyFont="1" applyBorder="1" applyProtection="1">
      <protection locked="0"/>
    </xf>
    <xf numFmtId="3" fontId="39" fillId="14" borderId="0" xfId="0" applyNumberFormat="1" applyFont="1" applyFill="1" applyAlignment="1">
      <alignment horizontal="right" vertical="center" wrapText="1"/>
    </xf>
    <xf numFmtId="0" fontId="39" fillId="14" borderId="0" xfId="0" applyFont="1" applyFill="1" applyAlignment="1">
      <alignment horizontal="left" vertical="center" wrapText="1"/>
    </xf>
    <xf numFmtId="0" fontId="38" fillId="4" borderId="1" xfId="0" applyFont="1" applyFill="1" applyBorder="1" applyAlignment="1">
      <alignment horizontal="center" vertical="center" wrapText="1"/>
    </xf>
    <xf numFmtId="0" fontId="42" fillId="0" borderId="0" xfId="0" applyFont="1"/>
    <xf numFmtId="0" fontId="43" fillId="0" borderId="14" xfId="0" applyFont="1" applyBorder="1" applyAlignment="1" applyProtection="1">
      <alignment horizontal="center"/>
      <protection locked="0"/>
    </xf>
    <xf numFmtId="0" fontId="43" fillId="0" borderId="0" xfId="0" applyFont="1" applyAlignment="1" applyProtection="1">
      <alignment horizontal="center"/>
      <protection locked="0"/>
    </xf>
    <xf numFmtId="0" fontId="0" fillId="0" borderId="70" xfId="0" applyBorder="1" applyAlignment="1" applyProtection="1">
      <alignment horizontal="center"/>
      <protection locked="0"/>
    </xf>
    <xf numFmtId="0" fontId="0" fillId="0" borderId="99" xfId="0" applyBorder="1" applyProtection="1">
      <protection locked="0"/>
    </xf>
    <xf numFmtId="168" fontId="0" fillId="0" borderId="85" xfId="1" applyNumberFormat="1" applyFont="1" applyBorder="1" applyProtection="1">
      <protection locked="0"/>
    </xf>
    <xf numFmtId="0" fontId="0" fillId="0" borderId="100" xfId="0" applyBorder="1" applyProtection="1">
      <protection locked="0"/>
    </xf>
    <xf numFmtId="0" fontId="0" fillId="0" borderId="37" xfId="0" applyBorder="1" applyProtection="1">
      <protection locked="0"/>
    </xf>
    <xf numFmtId="0" fontId="0" fillId="0" borderId="38" xfId="0" applyBorder="1" applyProtection="1">
      <protection locked="0"/>
    </xf>
    <xf numFmtId="0" fontId="1" fillId="0" borderId="48" xfId="0" applyFont="1" applyBorder="1" applyAlignment="1" applyProtection="1">
      <alignment horizontal="center"/>
      <protection locked="0"/>
    </xf>
    <xf numFmtId="168" fontId="1" fillId="0" borderId="83" xfId="1" applyNumberFormat="1" applyFont="1" applyBorder="1" applyProtection="1">
      <protection locked="0"/>
    </xf>
    <xf numFmtId="0" fontId="1" fillId="0" borderId="49" xfId="0" applyFont="1" applyBorder="1" applyProtection="1">
      <protection locked="0"/>
    </xf>
    <xf numFmtId="0" fontId="44" fillId="9" borderId="1" xfId="3" applyNumberFormat="1" applyFont="1" applyFill="1" applyBorder="1" applyAlignment="1">
      <alignment horizontal="center" vertical="center" wrapText="1"/>
    </xf>
    <xf numFmtId="0" fontId="44" fillId="15" borderId="1" xfId="3" applyNumberFormat="1" applyFont="1" applyFill="1" applyBorder="1" applyAlignment="1">
      <alignment horizontal="center" vertical="center"/>
    </xf>
    <xf numFmtId="0" fontId="44" fillId="16" borderId="1" xfId="3" applyNumberFormat="1" applyFont="1" applyFill="1" applyBorder="1" applyAlignment="1">
      <alignment horizontal="center" vertical="center"/>
    </xf>
    <xf numFmtId="0" fontId="44" fillId="9" borderId="1" xfId="0" applyFont="1" applyFill="1" applyBorder="1" applyAlignment="1">
      <alignment horizontal="center" vertical="center" wrapText="1"/>
    </xf>
    <xf numFmtId="0" fontId="44" fillId="9" borderId="1" xfId="3" applyNumberFormat="1" applyFont="1" applyFill="1" applyBorder="1" applyAlignment="1">
      <alignment horizontal="center" vertical="center"/>
    </xf>
    <xf numFmtId="14" fontId="36" fillId="12" borderId="0" xfId="0" applyNumberFormat="1" applyFont="1" applyFill="1" applyAlignment="1">
      <alignment vertical="center" wrapText="1"/>
    </xf>
    <xf numFmtId="14" fontId="36" fillId="13" borderId="0" xfId="0" applyNumberFormat="1" applyFont="1" applyFill="1" applyAlignment="1">
      <alignment vertical="center" wrapText="1"/>
    </xf>
    <xf numFmtId="14" fontId="37" fillId="0" borderId="0" xfId="0" applyNumberFormat="1" applyFont="1"/>
    <xf numFmtId="172" fontId="0" fillId="0" borderId="0" xfId="1" applyNumberFormat="1" applyFont="1" applyProtection="1">
      <protection locked="0"/>
    </xf>
    <xf numFmtId="0" fontId="0" fillId="17" borderId="0" xfId="0" applyFill="1" applyProtection="1">
      <protection locked="0"/>
    </xf>
    <xf numFmtId="0" fontId="0" fillId="17" borderId="0" xfId="0" applyFill="1"/>
    <xf numFmtId="0" fontId="0" fillId="17" borderId="0" xfId="0" applyFill="1" applyAlignment="1">
      <alignment horizontal="left"/>
    </xf>
    <xf numFmtId="0" fontId="0" fillId="17" borderId="0" xfId="0" applyFill="1" applyAlignment="1">
      <alignment horizontal="center"/>
    </xf>
    <xf numFmtId="167" fontId="0" fillId="17" borderId="0" xfId="1" applyNumberFormat="1" applyFont="1" applyFill="1" applyProtection="1"/>
    <xf numFmtId="167" fontId="0" fillId="17" borderId="0" xfId="1" applyNumberFormat="1" applyFont="1" applyFill="1" applyBorder="1" applyProtection="1"/>
    <xf numFmtId="0" fontId="43" fillId="17" borderId="0" xfId="0" applyFont="1" applyFill="1" applyAlignment="1" applyProtection="1">
      <alignment horizontal="center"/>
      <protection locked="0"/>
    </xf>
    <xf numFmtId="0" fontId="0" fillId="17" borderId="0" xfId="0" applyFill="1" applyAlignment="1" applyProtection="1">
      <alignment horizontal="center"/>
      <protection locked="0"/>
    </xf>
    <xf numFmtId="0" fontId="7" fillId="17" borderId="0" xfId="0" applyFont="1" applyFill="1" applyProtection="1">
      <protection locked="0"/>
    </xf>
    <xf numFmtId="0" fontId="5" fillId="17" borderId="0" xfId="0" applyFont="1" applyFill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168" fontId="24" fillId="0" borderId="1" xfId="1" applyNumberFormat="1" applyFont="1" applyBorder="1" applyAlignment="1" applyProtection="1">
      <alignment horizontal="center"/>
      <protection locked="0"/>
    </xf>
    <xf numFmtId="0" fontId="24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5" fillId="0" borderId="14" xfId="0" applyFont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18" xfId="0" applyFont="1" applyBorder="1" applyAlignment="1" applyProtection="1">
      <alignment horizontal="center" vertical="center"/>
      <protection locked="0"/>
    </xf>
    <xf numFmtId="0" fontId="5" fillId="0" borderId="19" xfId="0" applyFont="1" applyBorder="1" applyAlignment="1" applyProtection="1">
      <alignment horizontal="center" vertical="center"/>
      <protection locked="0"/>
    </xf>
    <xf numFmtId="0" fontId="5" fillId="0" borderId="20" xfId="0" applyFont="1" applyBorder="1" applyAlignment="1" applyProtection="1">
      <alignment horizontal="center" vertical="center"/>
      <protection locked="0"/>
    </xf>
    <xf numFmtId="0" fontId="5" fillId="0" borderId="21" xfId="0" applyFont="1" applyBorder="1" applyAlignment="1" applyProtection="1">
      <alignment horizontal="center" vertical="center"/>
      <protection locked="0"/>
    </xf>
    <xf numFmtId="168" fontId="24" fillId="0" borderId="77" xfId="1" applyNumberFormat="1" applyFont="1" applyBorder="1" applyAlignment="1" applyProtection="1">
      <alignment horizontal="center"/>
      <protection locked="0"/>
    </xf>
    <xf numFmtId="168" fontId="24" fillId="0" borderId="84" xfId="1" applyNumberFormat="1" applyFont="1" applyBorder="1" applyAlignment="1" applyProtection="1">
      <alignment horizontal="center"/>
      <protection locked="0"/>
    </xf>
    <xf numFmtId="168" fontId="24" fillId="0" borderId="83" xfId="1" applyNumberFormat="1" applyFont="1" applyBorder="1" applyAlignment="1" applyProtection="1">
      <alignment horizontal="center"/>
      <protection locked="0"/>
    </xf>
    <xf numFmtId="168" fontId="24" fillId="0" borderId="38" xfId="1" applyNumberFormat="1" applyFont="1" applyBorder="1" applyAlignment="1" applyProtection="1">
      <alignment horizontal="center"/>
      <protection locked="0"/>
    </xf>
    <xf numFmtId="0" fontId="24" fillId="0" borderId="38" xfId="0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43" fillId="0" borderId="14" xfId="0" applyFont="1" applyBorder="1" applyAlignment="1" applyProtection="1">
      <alignment horizontal="center"/>
      <protection locked="0"/>
    </xf>
    <xf numFmtId="0" fontId="43" fillId="0" borderId="0" xfId="0" applyFont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 wrapText="1"/>
      <protection locked="0"/>
    </xf>
    <xf numFmtId="0" fontId="0" fillId="0" borderId="0" xfId="0" applyAlignment="1" applyProtection="1">
      <alignment horizontal="center" wrapText="1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39" fillId="14" borderId="0" xfId="0" applyFont="1" applyFill="1" applyAlignment="1">
      <alignment horizontal="left" vertical="center" wrapText="1"/>
    </xf>
    <xf numFmtId="0" fontId="41" fillId="0" borderId="1" xfId="0" applyFont="1" applyBorder="1" applyAlignment="1">
      <alignment horizontal="center" vertical="center"/>
    </xf>
    <xf numFmtId="0" fontId="40" fillId="0" borderId="1" xfId="0" applyFont="1" applyBorder="1" applyAlignment="1">
      <alignment horizontal="center" vertical="center"/>
    </xf>
    <xf numFmtId="0" fontId="38" fillId="4" borderId="1" xfId="0" applyFont="1" applyFill="1" applyBorder="1" applyAlignment="1">
      <alignment horizontal="center" vertical="center" wrapText="1"/>
    </xf>
    <xf numFmtId="168" fontId="0" fillId="0" borderId="1" xfId="1" applyNumberFormat="1" applyFont="1" applyBorder="1" applyAlignment="1" applyProtection="1">
      <alignment horizontal="center"/>
      <protection locked="0"/>
    </xf>
    <xf numFmtId="168" fontId="1" fillId="0" borderId="1" xfId="1" applyNumberFormat="1" applyFont="1" applyBorder="1" applyAlignment="1" applyProtection="1">
      <alignment horizontal="center"/>
      <protection locked="0"/>
    </xf>
    <xf numFmtId="172" fontId="0" fillId="0" borderId="1" xfId="1" applyNumberFormat="1" applyFont="1" applyBorder="1" applyAlignment="1" applyProtection="1">
      <alignment horizontal="center"/>
      <protection locked="0"/>
    </xf>
    <xf numFmtId="0" fontId="0" fillId="10" borderId="2" xfId="0" applyFill="1" applyBorder="1" applyAlignment="1" applyProtection="1">
      <alignment horizontal="center"/>
      <protection locked="0"/>
    </xf>
    <xf numFmtId="0" fontId="0" fillId="10" borderId="3" xfId="0" applyFill="1" applyBorder="1" applyAlignment="1" applyProtection="1">
      <alignment horizontal="center"/>
      <protection locked="0"/>
    </xf>
    <xf numFmtId="0" fontId="0" fillId="10" borderId="4" xfId="0" applyFill="1" applyBorder="1" applyAlignment="1" applyProtection="1">
      <alignment horizontal="center"/>
      <protection locked="0"/>
    </xf>
    <xf numFmtId="0" fontId="0" fillId="10" borderId="1" xfId="0" applyFill="1" applyBorder="1" applyAlignment="1" applyProtection="1">
      <alignment horizontal="center"/>
      <protection locked="0"/>
    </xf>
    <xf numFmtId="168" fontId="0" fillId="0" borderId="2" xfId="1" applyNumberFormat="1" applyFont="1" applyBorder="1" applyAlignment="1" applyProtection="1">
      <alignment horizontal="center"/>
      <protection locked="0"/>
    </xf>
    <xf numFmtId="165" fontId="0" fillId="0" borderId="1" xfId="1" applyFont="1" applyBorder="1" applyAlignment="1" applyProtection="1">
      <alignment horizontal="center"/>
      <protection locked="0"/>
    </xf>
    <xf numFmtId="165" fontId="0" fillId="0" borderId="2" xfId="1" applyFont="1" applyBorder="1" applyAlignment="1" applyProtection="1">
      <alignment horizontal="center"/>
      <protection locked="0"/>
    </xf>
    <xf numFmtId="171" fontId="1" fillId="0" borderId="1" xfId="0" applyNumberFormat="1" applyFont="1" applyBorder="1" applyAlignment="1" applyProtection="1">
      <alignment horizontal="right"/>
      <protection locked="0"/>
    </xf>
    <xf numFmtId="171" fontId="1" fillId="0" borderId="2" xfId="0" applyNumberFormat="1" applyFont="1" applyBorder="1" applyAlignment="1" applyProtection="1">
      <alignment horizontal="right"/>
      <protection locked="0"/>
    </xf>
    <xf numFmtId="172" fontId="1" fillId="0" borderId="1" xfId="0" applyNumberFormat="1" applyFont="1" applyBorder="1" applyAlignment="1" applyProtection="1">
      <alignment horizontal="right"/>
      <protection locked="0"/>
    </xf>
    <xf numFmtId="168" fontId="1" fillId="0" borderId="86" xfId="0" applyNumberFormat="1" applyFont="1" applyBorder="1" applyAlignment="1" applyProtection="1">
      <alignment horizontal="center"/>
      <protection locked="0"/>
    </xf>
    <xf numFmtId="0" fontId="1" fillId="0" borderId="79" xfId="0" applyFont="1" applyBorder="1" applyAlignment="1" applyProtection="1">
      <alignment horizontal="center"/>
      <protection locked="0"/>
    </xf>
    <xf numFmtId="165" fontId="1" fillId="0" borderId="1" xfId="1" applyFont="1" applyBorder="1" applyAlignment="1" applyProtection="1">
      <alignment horizontal="center"/>
      <protection locked="0"/>
    </xf>
    <xf numFmtId="172" fontId="0" fillId="0" borderId="1" xfId="0" applyNumberFormat="1" applyBorder="1" applyAlignment="1" applyProtection="1">
      <alignment horizontal="center"/>
      <protection locked="0"/>
    </xf>
    <xf numFmtId="0" fontId="0" fillId="0" borderId="86" xfId="0" applyBorder="1" applyAlignment="1" applyProtection="1">
      <alignment horizontal="left"/>
      <protection locked="0"/>
    </xf>
    <xf numFmtId="0" fontId="0" fillId="0" borderId="79" xfId="0" applyBorder="1" applyAlignment="1" applyProtection="1">
      <alignment horizontal="left"/>
      <protection locked="0"/>
    </xf>
    <xf numFmtId="0" fontId="29" fillId="0" borderId="1" xfId="0" applyFont="1" applyBorder="1" applyAlignment="1" applyProtection="1">
      <alignment horizontal="left" wrapText="1"/>
      <protection locked="0"/>
    </xf>
    <xf numFmtId="0" fontId="30" fillId="0" borderId="1" xfId="0" applyFont="1" applyBorder="1" applyAlignment="1" applyProtection="1">
      <alignment horizontal="center" vertical="center" textRotation="90" wrapText="1"/>
      <protection locked="0"/>
    </xf>
    <xf numFmtId="0" fontId="0" fillId="0" borderId="1" xfId="0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168" fontId="1" fillId="0" borderId="1" xfId="0" applyNumberFormat="1" applyFont="1" applyBorder="1" applyAlignment="1" applyProtection="1">
      <alignment horizontal="center"/>
      <protection locked="0"/>
    </xf>
    <xf numFmtId="0" fontId="10" fillId="0" borderId="6" xfId="4" applyFont="1" applyBorder="1" applyAlignment="1" applyProtection="1">
      <alignment horizontal="center" vertical="center"/>
      <protection locked="0" hidden="1"/>
    </xf>
    <xf numFmtId="0" fontId="10" fillId="0" borderId="7" xfId="4" applyFont="1" applyBorder="1" applyAlignment="1" applyProtection="1">
      <alignment horizontal="center" vertical="center"/>
      <protection locked="0" hidden="1"/>
    </xf>
    <xf numFmtId="0" fontId="10" fillId="0" borderId="14" xfId="4" applyFont="1" applyBorder="1" applyAlignment="1" applyProtection="1">
      <alignment horizontal="center" vertical="center"/>
      <protection locked="0" hidden="1"/>
    </xf>
    <xf numFmtId="0" fontId="10" fillId="0" borderId="0" xfId="4" applyFont="1" applyAlignment="1" applyProtection="1">
      <alignment horizontal="center" vertical="center"/>
      <protection locked="0" hidden="1"/>
    </xf>
    <xf numFmtId="0" fontId="10" fillId="0" borderId="15" xfId="4" applyFont="1" applyBorder="1" applyAlignment="1" applyProtection="1">
      <alignment horizontal="center" vertical="center"/>
      <protection locked="0" hidden="1"/>
    </xf>
    <xf numFmtId="0" fontId="11" fillId="0" borderId="8" xfId="4" applyFont="1" applyBorder="1" applyAlignment="1" applyProtection="1">
      <alignment horizontal="center" vertical="center" wrapText="1"/>
      <protection locked="0" hidden="1"/>
    </xf>
    <xf numFmtId="0" fontId="11" fillId="0" borderId="7" xfId="4" applyFont="1" applyBorder="1" applyAlignment="1" applyProtection="1">
      <alignment horizontal="center" vertical="center" wrapText="1"/>
      <protection locked="0" hidden="1"/>
    </xf>
    <xf numFmtId="0" fontId="11" fillId="0" borderId="9" xfId="4" applyFont="1" applyBorder="1" applyAlignment="1" applyProtection="1">
      <alignment horizontal="center" vertical="center" wrapText="1"/>
      <protection locked="0" hidden="1"/>
    </xf>
    <xf numFmtId="0" fontId="11" fillId="0" borderId="16" xfId="4" applyFont="1" applyBorder="1" applyAlignment="1" applyProtection="1">
      <alignment horizontal="center" vertical="center" wrapText="1"/>
      <protection locked="0" hidden="1"/>
    </xf>
    <xf numFmtId="0" fontId="11" fillId="0" borderId="0" xfId="4" applyFont="1" applyAlignment="1" applyProtection="1">
      <alignment horizontal="center" vertical="center" wrapText="1"/>
      <protection locked="0" hidden="1"/>
    </xf>
    <xf numFmtId="0" fontId="11" fillId="0" borderId="15" xfId="4" applyFont="1" applyBorder="1" applyAlignment="1" applyProtection="1">
      <alignment horizontal="center" vertical="center" wrapText="1"/>
      <protection locked="0" hidden="1"/>
    </xf>
    <xf numFmtId="0" fontId="12" fillId="11" borderId="9" xfId="4" applyFont="1" applyFill="1" applyBorder="1" applyAlignment="1" applyProtection="1">
      <alignment horizontal="center" vertical="center" wrapText="1"/>
      <protection locked="0" hidden="1"/>
    </xf>
    <xf numFmtId="0" fontId="12" fillId="11" borderId="10" xfId="4" applyFont="1" applyFill="1" applyBorder="1" applyAlignment="1" applyProtection="1">
      <alignment horizontal="center" vertical="center" wrapText="1"/>
      <protection locked="0" hidden="1"/>
    </xf>
    <xf numFmtId="0" fontId="12" fillId="11" borderId="8" xfId="4" applyFont="1" applyFill="1" applyBorder="1" applyAlignment="1" applyProtection="1">
      <alignment horizontal="center" vertical="center" wrapText="1"/>
      <protection locked="0" hidden="1"/>
    </xf>
    <xf numFmtId="0" fontId="12" fillId="11" borderId="17" xfId="4" applyFont="1" applyFill="1" applyBorder="1" applyAlignment="1" applyProtection="1">
      <alignment horizontal="center" vertical="center" wrapText="1"/>
      <protection locked="0" hidden="1"/>
    </xf>
    <xf numFmtId="0" fontId="12" fillId="11" borderId="16" xfId="4" applyFont="1" applyFill="1" applyBorder="1" applyAlignment="1" applyProtection="1">
      <alignment horizontal="center" vertical="center" wrapText="1"/>
      <protection locked="0" hidden="1"/>
    </xf>
    <xf numFmtId="0" fontId="12" fillId="11" borderId="15" xfId="4" applyFont="1" applyFill="1" applyBorder="1" applyAlignment="1" applyProtection="1">
      <alignment horizontal="center" vertical="center" wrapText="1"/>
      <protection locked="0" hidden="1"/>
    </xf>
    <xf numFmtId="0" fontId="13" fillId="11" borderId="6" xfId="4" applyFont="1" applyFill="1" applyBorder="1" applyAlignment="1" applyProtection="1">
      <alignment horizontal="center" vertical="center" wrapText="1"/>
      <protection locked="0" hidden="1"/>
    </xf>
    <xf numFmtId="0" fontId="13" fillId="11" borderId="7" xfId="4" applyFont="1" applyFill="1" applyBorder="1" applyAlignment="1" applyProtection="1">
      <alignment horizontal="center" vertical="center" wrapText="1"/>
      <protection locked="0" hidden="1"/>
    </xf>
    <xf numFmtId="0" fontId="13" fillId="11" borderId="14" xfId="4" applyFont="1" applyFill="1" applyBorder="1" applyAlignment="1" applyProtection="1">
      <alignment horizontal="center" vertical="center" wrapText="1"/>
      <protection locked="0" hidden="1"/>
    </xf>
    <xf numFmtId="0" fontId="13" fillId="11" borderId="0" xfId="4" applyFont="1" applyFill="1" applyAlignment="1" applyProtection="1">
      <alignment horizontal="center" vertical="center" wrapText="1"/>
      <protection locked="0" hidden="1"/>
    </xf>
    <xf numFmtId="0" fontId="13" fillId="11" borderId="19" xfId="4" applyFont="1" applyFill="1" applyBorder="1" applyAlignment="1" applyProtection="1">
      <alignment horizontal="center" vertical="center" wrapText="1"/>
      <protection locked="0" hidden="1"/>
    </xf>
    <xf numFmtId="0" fontId="13" fillId="11" borderId="20" xfId="4" applyFont="1" applyFill="1" applyBorder="1" applyAlignment="1" applyProtection="1">
      <alignment horizontal="center" vertical="center" wrapText="1"/>
      <protection locked="0" hidden="1"/>
    </xf>
    <xf numFmtId="0" fontId="13" fillId="11" borderId="11" xfId="4" applyFont="1" applyFill="1" applyBorder="1" applyAlignment="1" applyProtection="1">
      <alignment horizontal="center" vertical="center" wrapText="1"/>
      <protection locked="0" hidden="1"/>
    </xf>
    <xf numFmtId="0" fontId="9" fillId="0" borderId="7" xfId="4" applyBorder="1" applyAlignment="1" applyProtection="1">
      <alignment horizontal="center" vertical="center"/>
      <protection locked="0" hidden="1"/>
    </xf>
    <xf numFmtId="1" fontId="15" fillId="0" borderId="7" xfId="4" applyNumberFormat="1" applyFont="1" applyBorder="1" applyAlignment="1" applyProtection="1">
      <alignment horizontal="center" vertical="center"/>
      <protection locked="0" hidden="1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0" borderId="3" xfId="0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7" fillId="0" borderId="0" xfId="4" applyFont="1" applyAlignment="1" applyProtection="1">
      <alignment horizontal="right" vertical="center" wrapText="1"/>
      <protection locked="0" hidden="1"/>
    </xf>
    <xf numFmtId="0" fontId="18" fillId="0" borderId="0" xfId="4" applyFont="1" applyAlignment="1" applyProtection="1">
      <alignment horizontal="right" vertical="center" wrapText="1"/>
      <protection locked="0" hidden="1"/>
    </xf>
    <xf numFmtId="0" fontId="20" fillId="0" borderId="20" xfId="4" applyFont="1" applyBorder="1" applyAlignment="1" applyProtection="1">
      <alignment horizontal="center" vertical="center"/>
      <protection locked="0" hidden="1"/>
    </xf>
    <xf numFmtId="0" fontId="10" fillId="0" borderId="19" xfId="4" applyFont="1" applyBorder="1" applyAlignment="1" applyProtection="1">
      <alignment horizontal="center" vertical="center"/>
      <protection locked="0" hidden="1"/>
    </xf>
    <xf numFmtId="0" fontId="10" fillId="0" borderId="20" xfId="4" applyFont="1" applyBorder="1" applyAlignment="1" applyProtection="1">
      <alignment horizontal="center" vertical="center"/>
      <protection locked="0" hidden="1"/>
    </xf>
    <xf numFmtId="0" fontId="10" fillId="0" borderId="21" xfId="4" applyFont="1" applyBorder="1" applyAlignment="1" applyProtection="1">
      <alignment horizontal="center" vertical="center"/>
      <protection locked="0" hidden="1"/>
    </xf>
    <xf numFmtId="165" fontId="0" fillId="0" borderId="2" xfId="1" applyFont="1" applyBorder="1" applyAlignment="1" applyProtection="1">
      <alignment horizontal="center" vertical="center"/>
      <protection locked="0"/>
    </xf>
    <xf numFmtId="165" fontId="0" fillId="0" borderId="3" xfId="1" applyFont="1" applyBorder="1" applyAlignment="1" applyProtection="1">
      <alignment horizontal="center" vertical="center"/>
      <protection locked="0"/>
    </xf>
    <xf numFmtId="165" fontId="0" fillId="0" borderId="4" xfId="1" applyFont="1" applyBorder="1" applyAlignment="1" applyProtection="1">
      <alignment horizontal="center" vertical="center"/>
      <protection locked="0"/>
    </xf>
    <xf numFmtId="0" fontId="10" fillId="6" borderId="2" xfId="4" applyFont="1" applyFill="1" applyBorder="1" applyAlignment="1" applyProtection="1">
      <alignment horizontal="center" vertical="center" wrapText="1"/>
      <protection locked="0" hidden="1"/>
    </xf>
    <xf numFmtId="0" fontId="10" fillId="6" borderId="4" xfId="4" applyFont="1" applyFill="1" applyBorder="1" applyAlignment="1" applyProtection="1">
      <alignment horizontal="center" vertical="center" wrapText="1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0" fillId="0" borderId="4" xfId="0" applyBorder="1" applyAlignment="1" applyProtection="1">
      <alignment horizontal="center"/>
      <protection locked="0" hidden="1"/>
    </xf>
    <xf numFmtId="0" fontId="10" fillId="0" borderId="1" xfId="4" applyFont="1" applyBorder="1" applyAlignment="1" applyProtection="1">
      <alignment horizontal="center" vertical="center" wrapText="1"/>
      <protection locked="0" hidden="1"/>
    </xf>
    <xf numFmtId="0" fontId="15" fillId="6" borderId="1" xfId="4" applyFont="1" applyFill="1" applyBorder="1" applyAlignment="1" applyProtection="1">
      <alignment horizontal="center" vertical="center" wrapText="1"/>
      <protection locked="0" hidden="1"/>
    </xf>
    <xf numFmtId="0" fontId="10" fillId="6" borderId="1" xfId="4" applyFont="1" applyFill="1" applyBorder="1" applyAlignment="1" applyProtection="1">
      <alignment horizontal="center" vertical="center"/>
      <protection locked="0" hidden="1"/>
    </xf>
    <xf numFmtId="0" fontId="10" fillId="6" borderId="1" xfId="4" applyFont="1" applyFill="1" applyBorder="1" applyAlignment="1" applyProtection="1">
      <alignment horizontal="center" vertical="center" wrapText="1"/>
      <protection locked="0" hidden="1"/>
    </xf>
    <xf numFmtId="0" fontId="1" fillId="0" borderId="1" xfId="0" applyFont="1" applyBorder="1" applyAlignment="1" applyProtection="1">
      <alignment horizontal="center" vertical="center"/>
      <protection locked="0"/>
    </xf>
    <xf numFmtId="168" fontId="0" fillId="0" borderId="2" xfId="1" applyNumberFormat="1" applyFont="1" applyBorder="1" applyAlignment="1" applyProtection="1">
      <alignment horizontal="center" vertical="center"/>
      <protection locked="0"/>
    </xf>
    <xf numFmtId="168" fontId="0" fillId="0" borderId="3" xfId="1" applyNumberFormat="1" applyFont="1" applyBorder="1" applyAlignment="1" applyProtection="1">
      <alignment horizontal="center" vertical="center"/>
      <protection locked="0"/>
    </xf>
    <xf numFmtId="168" fontId="0" fillId="0" borderId="4" xfId="1" applyNumberFormat="1" applyFont="1" applyBorder="1" applyAlignment="1" applyProtection="1">
      <alignment horizontal="center" vertical="center"/>
      <protection locked="0"/>
    </xf>
    <xf numFmtId="172" fontId="1" fillId="0" borderId="1" xfId="0" applyNumberFormat="1" applyFont="1" applyBorder="1" applyAlignment="1" applyProtection="1">
      <alignment horizontal="center"/>
      <protection locked="0"/>
    </xf>
    <xf numFmtId="0" fontId="21" fillId="0" borderId="6" xfId="4" applyFont="1" applyBorder="1" applyAlignment="1" applyProtection="1">
      <alignment horizontal="center" vertical="center" textRotation="90" wrapText="1"/>
      <protection locked="0" hidden="1"/>
    </xf>
    <xf numFmtId="0" fontId="21" fillId="0" borderId="11" xfId="4" applyFont="1" applyBorder="1" applyAlignment="1" applyProtection="1">
      <alignment horizontal="center" vertical="center" textRotation="90" wrapText="1"/>
      <protection locked="0" hidden="1"/>
    </xf>
    <xf numFmtId="0" fontId="21" fillId="0" borderId="14" xfId="4" applyFont="1" applyBorder="1" applyAlignment="1" applyProtection="1">
      <alignment horizontal="center" vertical="center" textRotation="90" wrapText="1"/>
      <protection locked="0" hidden="1"/>
    </xf>
    <xf numFmtId="0" fontId="21" fillId="0" borderId="18" xfId="4" applyFont="1" applyBorder="1" applyAlignment="1" applyProtection="1">
      <alignment horizontal="center" vertical="center" textRotation="90" wrapText="1"/>
      <protection locked="0" hidden="1"/>
    </xf>
    <xf numFmtId="0" fontId="15" fillId="0" borderId="29" xfId="4" applyFont="1" applyBorder="1" applyAlignment="1" applyProtection="1">
      <alignment horizontal="center" vertical="center"/>
      <protection locked="0" hidden="1"/>
    </xf>
    <xf numFmtId="0" fontId="15" fillId="0" borderId="30" xfId="4" applyFont="1" applyBorder="1" applyAlignment="1" applyProtection="1">
      <alignment horizontal="center" vertical="center"/>
      <protection locked="0" hidden="1"/>
    </xf>
    <xf numFmtId="0" fontId="10" fillId="0" borderId="32" xfId="4" applyFont="1" applyBorder="1" applyAlignment="1" applyProtection="1">
      <alignment horizontal="left" vertical="center"/>
      <protection locked="0" hidden="1"/>
    </xf>
    <xf numFmtId="0" fontId="10" fillId="0" borderId="33" xfId="4" applyFont="1" applyBorder="1" applyAlignment="1" applyProtection="1">
      <alignment horizontal="left" vertical="center" wrapText="1"/>
      <protection locked="0" hidden="1"/>
    </xf>
    <xf numFmtId="0" fontId="10" fillId="0" borderId="32" xfId="4" applyFont="1" applyBorder="1" applyAlignment="1" applyProtection="1">
      <alignment horizontal="left" vertical="center" wrapText="1"/>
      <protection locked="0" hidden="1"/>
    </xf>
    <xf numFmtId="0" fontId="10" fillId="0" borderId="34" xfId="4" applyFont="1" applyBorder="1" applyAlignment="1" applyProtection="1">
      <alignment horizontal="left" vertical="center" wrapText="1"/>
      <protection locked="0" hidden="1"/>
    </xf>
    <xf numFmtId="0" fontId="1" fillId="0" borderId="1" xfId="0" applyFont="1" applyBorder="1" applyAlignment="1" applyProtection="1">
      <alignment horizontal="center" vertical="center" textRotation="90"/>
      <protection locked="0"/>
    </xf>
    <xf numFmtId="0" fontId="1" fillId="0" borderId="85" xfId="0" applyFont="1" applyBorder="1" applyAlignment="1" applyProtection="1">
      <alignment horizontal="center" vertical="center" textRotation="90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168" fontId="0" fillId="0" borderId="86" xfId="1" applyNumberFormat="1" applyFont="1" applyBorder="1" applyAlignment="1" applyProtection="1">
      <alignment horizontal="center"/>
      <protection locked="0"/>
    </xf>
    <xf numFmtId="168" fontId="0" fillId="0" borderId="79" xfId="1" applyNumberFormat="1" applyFont="1" applyBorder="1" applyAlignment="1" applyProtection="1">
      <alignment horizontal="center"/>
      <protection locked="0"/>
    </xf>
    <xf numFmtId="168" fontId="1" fillId="0" borderId="2" xfId="1" applyNumberFormat="1" applyFont="1" applyBorder="1" applyAlignment="1" applyProtection="1">
      <alignment horizontal="center"/>
      <protection locked="0"/>
    </xf>
    <xf numFmtId="0" fontId="1" fillId="0" borderId="86" xfId="0" applyFont="1" applyBorder="1" applyAlignment="1" applyProtection="1">
      <alignment horizontal="left"/>
      <protection locked="0"/>
    </xf>
    <xf numFmtId="0" fontId="1" fillId="0" borderId="79" xfId="0" applyFont="1" applyBorder="1" applyAlignment="1" applyProtection="1">
      <alignment horizontal="left"/>
      <protection locked="0"/>
    </xf>
    <xf numFmtId="0" fontId="29" fillId="0" borderId="1" xfId="0" applyFont="1" applyBorder="1" applyAlignment="1" applyProtection="1">
      <alignment horizontal="left"/>
      <protection locked="0"/>
    </xf>
    <xf numFmtId="0" fontId="32" fillId="0" borderId="1" xfId="0" applyFont="1" applyBorder="1" applyAlignment="1" applyProtection="1">
      <alignment horizontal="left"/>
      <protection locked="0"/>
    </xf>
    <xf numFmtId="0" fontId="32" fillId="0" borderId="1" xfId="0" applyFont="1" applyBorder="1" applyAlignment="1" applyProtection="1">
      <alignment horizontal="left" wrapText="1"/>
      <protection locked="0"/>
    </xf>
    <xf numFmtId="168" fontId="0" fillId="0" borderId="1" xfId="0" applyNumberFormat="1" applyBorder="1" applyAlignment="1" applyProtection="1">
      <alignment horizontal="center"/>
      <protection locked="0"/>
    </xf>
    <xf numFmtId="172" fontId="1" fillId="0" borderId="1" xfId="1" applyNumberFormat="1" applyFont="1" applyBorder="1" applyAlignment="1" applyProtection="1">
      <alignment horizontal="center"/>
      <protection locked="0"/>
    </xf>
    <xf numFmtId="168" fontId="0" fillId="0" borderId="85" xfId="1" applyNumberFormat="1" applyFont="1" applyBorder="1" applyAlignment="1" applyProtection="1">
      <alignment horizontal="center"/>
      <protection locked="0"/>
    </xf>
    <xf numFmtId="0" fontId="29" fillId="0" borderId="1" xfId="0" applyFont="1" applyBorder="1" applyAlignment="1" applyProtection="1">
      <alignment horizontal="center" wrapText="1"/>
      <protection locked="0"/>
    </xf>
    <xf numFmtId="0" fontId="29" fillId="0" borderId="85" xfId="0" applyFont="1" applyBorder="1" applyAlignment="1" applyProtection="1">
      <alignment horizontal="center" wrapText="1"/>
      <protection locked="0"/>
    </xf>
    <xf numFmtId="0" fontId="1" fillId="0" borderId="97" xfId="0" applyFont="1" applyBorder="1" applyAlignment="1" applyProtection="1">
      <alignment horizontal="left"/>
      <protection locked="0"/>
    </xf>
    <xf numFmtId="0" fontId="1" fillId="0" borderId="12" xfId="0" applyFont="1" applyBorder="1" applyAlignment="1" applyProtection="1">
      <alignment horizontal="left"/>
      <protection locked="0"/>
    </xf>
    <xf numFmtId="0" fontId="1" fillId="0" borderId="13" xfId="0" applyFont="1" applyBorder="1" applyAlignment="1" applyProtection="1">
      <alignment horizontal="left"/>
      <protection locked="0"/>
    </xf>
    <xf numFmtId="171" fontId="0" fillId="0" borderId="98" xfId="0" applyNumberFormat="1" applyBorder="1" applyAlignment="1" applyProtection="1">
      <alignment horizontal="center"/>
      <protection locked="0"/>
    </xf>
    <xf numFmtId="171" fontId="0" fillId="0" borderId="12" xfId="0" applyNumberFormat="1" applyBorder="1" applyAlignment="1" applyProtection="1">
      <alignment horizontal="center"/>
      <protection locked="0"/>
    </xf>
    <xf numFmtId="171" fontId="0" fillId="0" borderId="13" xfId="0" applyNumberFormat="1" applyBorder="1" applyAlignment="1" applyProtection="1">
      <alignment horizontal="center"/>
      <protection locked="0"/>
    </xf>
    <xf numFmtId="0" fontId="29" fillId="0" borderId="85" xfId="0" applyFont="1" applyBorder="1" applyAlignment="1" applyProtection="1">
      <alignment horizontal="left" wrapText="1"/>
      <protection locked="0"/>
    </xf>
    <xf numFmtId="168" fontId="0" fillId="0" borderId="3" xfId="1" applyNumberFormat="1" applyFont="1" applyBorder="1" applyAlignment="1" applyProtection="1">
      <alignment horizontal="center"/>
      <protection locked="0"/>
    </xf>
    <xf numFmtId="168" fontId="0" fillId="0" borderId="4" xfId="1" applyNumberFormat="1" applyFont="1" applyBorder="1" applyAlignment="1" applyProtection="1">
      <alignment horizontal="center"/>
      <protection locked="0"/>
    </xf>
    <xf numFmtId="0" fontId="0" fillId="0" borderId="86" xfId="0" applyBorder="1" applyAlignment="1" applyProtection="1">
      <alignment horizontal="center"/>
      <protection locked="0"/>
    </xf>
    <xf numFmtId="0" fontId="0" fillId="0" borderId="79" xfId="0" applyBorder="1" applyAlignment="1" applyProtection="1">
      <alignment horizontal="center"/>
      <protection locked="0"/>
    </xf>
    <xf numFmtId="0" fontId="0" fillId="0" borderId="87" xfId="0" applyBorder="1" applyAlignment="1" applyProtection="1">
      <alignment horizontal="center"/>
      <protection locked="0"/>
    </xf>
    <xf numFmtId="0" fontId="32" fillId="0" borderId="86" xfId="0" applyFont="1" applyBorder="1" applyAlignment="1" applyProtection="1">
      <alignment horizontal="center" wrapText="1"/>
      <protection locked="0"/>
    </xf>
    <xf numFmtId="0" fontId="32" fillId="0" borderId="79" xfId="0" applyFont="1" applyBorder="1" applyAlignment="1" applyProtection="1">
      <alignment horizontal="center" wrapText="1"/>
      <protection locked="0"/>
    </xf>
    <xf numFmtId="0" fontId="0" fillId="0" borderId="85" xfId="0" applyBorder="1" applyAlignment="1" applyProtection="1">
      <alignment horizontal="center"/>
      <protection locked="0"/>
    </xf>
    <xf numFmtId="172" fontId="0" fillId="0" borderId="85" xfId="1" applyNumberFormat="1" applyFont="1" applyBorder="1" applyAlignment="1" applyProtection="1">
      <alignment horizontal="center"/>
      <protection locked="0"/>
    </xf>
    <xf numFmtId="0" fontId="1" fillId="0" borderId="40" xfId="0" applyFont="1" applyBorder="1" applyAlignment="1" applyProtection="1">
      <alignment horizontal="center" vertical="center" textRotation="90" wrapText="1"/>
      <protection locked="0"/>
    </xf>
    <xf numFmtId="0" fontId="1" fillId="0" borderId="91" xfId="0" applyFont="1" applyBorder="1" applyAlignment="1" applyProtection="1">
      <alignment horizontal="center" vertical="center" textRotation="90" wrapText="1"/>
      <protection locked="0"/>
    </xf>
    <xf numFmtId="0" fontId="1" fillId="0" borderId="37" xfId="0" applyFont="1" applyBorder="1" applyAlignment="1" applyProtection="1">
      <alignment horizontal="center" vertical="center" textRotation="90" wrapText="1"/>
      <protection locked="0"/>
    </xf>
    <xf numFmtId="0" fontId="1" fillId="0" borderId="2" xfId="0" applyFont="1" applyBorder="1" applyAlignment="1" applyProtection="1">
      <alignment horizontal="center" vertical="center" textRotation="90" wrapText="1"/>
      <protection locked="0"/>
    </xf>
    <xf numFmtId="0" fontId="1" fillId="0" borderId="48" xfId="0" applyFont="1" applyBorder="1" applyAlignment="1" applyProtection="1">
      <alignment horizontal="center" vertical="center" textRotation="90" wrapText="1"/>
      <protection locked="0"/>
    </xf>
    <xf numFmtId="0" fontId="1" fillId="0" borderId="88" xfId="0" applyFont="1" applyBorder="1" applyAlignment="1" applyProtection="1">
      <alignment horizontal="center" vertical="center" textRotation="90" wrapText="1"/>
      <protection locked="0"/>
    </xf>
    <xf numFmtId="0" fontId="0" fillId="0" borderId="6" xfId="0" applyBorder="1" applyAlignment="1" applyProtection="1">
      <alignment horizontal="left"/>
      <protection locked="0"/>
    </xf>
    <xf numFmtId="0" fontId="0" fillId="0" borderId="7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71" xfId="0" applyBorder="1" applyAlignment="1" applyProtection="1">
      <alignment horizontal="left"/>
      <protection locked="0"/>
    </xf>
    <xf numFmtId="0" fontId="0" fillId="0" borderId="72" xfId="0" applyBorder="1" applyAlignment="1" applyProtection="1">
      <alignment horizontal="left"/>
      <protection locked="0"/>
    </xf>
    <xf numFmtId="0" fontId="1" fillId="0" borderId="71" xfId="0" applyFont="1" applyBorder="1" applyAlignment="1" applyProtection="1">
      <alignment horizontal="left"/>
      <protection locked="0"/>
    </xf>
    <xf numFmtId="0" fontId="1" fillId="0" borderId="72" xfId="0" applyFont="1" applyBorder="1" applyAlignment="1" applyProtection="1">
      <alignment horizontal="left"/>
      <protection locked="0"/>
    </xf>
    <xf numFmtId="0" fontId="1" fillId="0" borderId="48" xfId="0" applyFont="1" applyBorder="1" applyAlignment="1" applyProtection="1">
      <alignment horizontal="left"/>
      <protection locked="0"/>
    </xf>
    <xf numFmtId="0" fontId="1" fillId="0" borderId="83" xfId="0" applyFont="1" applyBorder="1" applyAlignment="1" applyProtection="1">
      <alignment horizontal="left"/>
      <protection locked="0"/>
    </xf>
    <xf numFmtId="0" fontId="1" fillId="0" borderId="49" xfId="0" applyFont="1" applyBorder="1" applyAlignment="1" applyProtection="1">
      <alignment horizontal="left"/>
      <protection locked="0"/>
    </xf>
    <xf numFmtId="172" fontId="0" fillId="0" borderId="92" xfId="1" applyNumberFormat="1" applyFont="1" applyBorder="1" applyAlignment="1" applyProtection="1">
      <alignment horizontal="center"/>
      <protection locked="0"/>
    </xf>
    <xf numFmtId="172" fontId="0" fillId="0" borderId="82" xfId="1" applyNumberFormat="1" applyFont="1" applyBorder="1" applyAlignment="1" applyProtection="1">
      <alignment horizontal="center"/>
      <protection locked="0"/>
    </xf>
    <xf numFmtId="172" fontId="0" fillId="0" borderId="41" xfId="1" applyNumberFormat="1" applyFont="1" applyBorder="1" applyAlignment="1" applyProtection="1">
      <alignment horizontal="center"/>
      <protection locked="0"/>
    </xf>
    <xf numFmtId="172" fontId="0" fillId="0" borderId="4" xfId="1" applyNumberFormat="1" applyFont="1" applyBorder="1" applyAlignment="1" applyProtection="1">
      <alignment horizontal="center"/>
      <protection locked="0"/>
    </xf>
    <xf numFmtId="172" fontId="0" fillId="0" borderId="38" xfId="1" applyNumberFormat="1" applyFont="1" applyBorder="1" applyAlignment="1" applyProtection="1">
      <alignment horizontal="center"/>
      <protection locked="0"/>
    </xf>
    <xf numFmtId="172" fontId="0" fillId="0" borderId="4" xfId="0" applyNumberFormat="1" applyBorder="1" applyAlignment="1" applyProtection="1">
      <alignment horizontal="center"/>
      <protection locked="0"/>
    </xf>
    <xf numFmtId="172" fontId="0" fillId="0" borderId="38" xfId="0" applyNumberFormat="1" applyBorder="1" applyAlignment="1" applyProtection="1">
      <alignment horizontal="center"/>
      <protection locked="0"/>
    </xf>
    <xf numFmtId="172" fontId="0" fillId="0" borderId="89" xfId="0" applyNumberFormat="1" applyBorder="1" applyAlignment="1" applyProtection="1">
      <alignment horizontal="center"/>
      <protection locked="0"/>
    </xf>
    <xf numFmtId="172" fontId="0" fillId="0" borderId="90" xfId="0" applyNumberFormat="1" applyBorder="1" applyAlignment="1" applyProtection="1">
      <alignment horizontal="center"/>
      <protection locked="0"/>
    </xf>
    <xf numFmtId="0" fontId="32" fillId="0" borderId="86" xfId="0" applyFont="1" applyBorder="1" applyAlignment="1" applyProtection="1">
      <alignment horizontal="center"/>
      <protection locked="0"/>
    </xf>
    <xf numFmtId="0" fontId="32" fillId="0" borderId="79" xfId="0" applyFont="1" applyBorder="1" applyAlignment="1" applyProtection="1">
      <alignment horizontal="center"/>
      <protection locked="0"/>
    </xf>
    <xf numFmtId="0" fontId="32" fillId="0" borderId="85" xfId="0" applyFont="1" applyBorder="1" applyAlignment="1" applyProtection="1">
      <alignment horizontal="center"/>
      <protection locked="0"/>
    </xf>
    <xf numFmtId="168" fontId="0" fillId="0" borderId="40" xfId="1" applyNumberFormat="1" applyFont="1" applyBorder="1" applyAlignment="1" applyProtection="1">
      <alignment horizontal="center"/>
      <protection locked="0"/>
    </xf>
    <xf numFmtId="168" fontId="0" fillId="0" borderId="82" xfId="1" applyNumberFormat="1" applyFont="1" applyBorder="1" applyAlignment="1" applyProtection="1">
      <alignment horizontal="center"/>
      <protection locked="0"/>
    </xf>
    <xf numFmtId="168" fontId="0" fillId="0" borderId="41" xfId="1" applyNumberFormat="1" applyFont="1" applyBorder="1" applyAlignment="1" applyProtection="1">
      <alignment horizontal="center"/>
      <protection locked="0"/>
    </xf>
    <xf numFmtId="168" fontId="0" fillId="0" borderId="37" xfId="1" applyNumberFormat="1" applyFont="1" applyBorder="1" applyAlignment="1" applyProtection="1">
      <alignment horizontal="center"/>
      <protection locked="0"/>
    </xf>
    <xf numFmtId="168" fontId="0" fillId="0" borderId="38" xfId="1" applyNumberFormat="1" applyFont="1" applyBorder="1" applyAlignment="1" applyProtection="1">
      <alignment horizontal="center"/>
      <protection locked="0"/>
    </xf>
    <xf numFmtId="0" fontId="1" fillId="0" borderId="93" xfId="0" applyFont="1" applyBorder="1" applyAlignment="1" applyProtection="1">
      <alignment horizontal="center" vertical="center" textRotation="90" wrapText="1"/>
      <protection locked="0"/>
    </xf>
    <xf numFmtId="0" fontId="1" fillId="0" borderId="94" xfId="0" applyFont="1" applyBorder="1" applyAlignment="1" applyProtection="1">
      <alignment horizontal="center" vertical="center" textRotation="90" wrapText="1"/>
      <protection locked="0"/>
    </xf>
    <xf numFmtId="0" fontId="1" fillId="0" borderId="101" xfId="0" applyFont="1" applyBorder="1" applyAlignment="1" applyProtection="1">
      <alignment horizontal="center" vertical="center" textRotation="90" wrapText="1"/>
      <protection locked="0"/>
    </xf>
    <xf numFmtId="0" fontId="30" fillId="0" borderId="93" xfId="0" applyFont="1" applyBorder="1" applyAlignment="1" applyProtection="1">
      <alignment horizontal="center" vertical="center" textRotation="90" wrapText="1"/>
      <protection locked="0"/>
    </xf>
    <xf numFmtId="0" fontId="30" fillId="0" borderId="94" xfId="0" applyFont="1" applyBorder="1" applyAlignment="1" applyProtection="1">
      <alignment horizontal="center" vertical="center" textRotation="90" wrapText="1"/>
      <protection locked="0"/>
    </xf>
    <xf numFmtId="0" fontId="30" fillId="0" borderId="95" xfId="0" applyFont="1" applyBorder="1" applyAlignment="1" applyProtection="1">
      <alignment horizontal="center" vertical="center" textRotation="90" wrapText="1"/>
      <protection locked="0"/>
    </xf>
    <xf numFmtId="0" fontId="0" fillId="0" borderId="40" xfId="0" applyBorder="1" applyAlignment="1" applyProtection="1">
      <alignment horizontal="left"/>
      <protection locked="0"/>
    </xf>
    <xf numFmtId="0" fontId="0" fillId="0" borderId="82" xfId="0" applyBorder="1" applyAlignment="1" applyProtection="1">
      <alignment horizontal="left"/>
      <protection locked="0"/>
    </xf>
    <xf numFmtId="0" fontId="0" fillId="0" borderId="41" xfId="0" applyBorder="1" applyAlignment="1" applyProtection="1">
      <alignment horizontal="left"/>
      <protection locked="0"/>
    </xf>
    <xf numFmtId="0" fontId="0" fillId="0" borderId="37" xfId="0" applyBorder="1" applyAlignment="1" applyProtection="1">
      <alignment horizontal="left"/>
      <protection locked="0"/>
    </xf>
    <xf numFmtId="0" fontId="0" fillId="0" borderId="38" xfId="0" applyBorder="1" applyAlignment="1" applyProtection="1">
      <alignment horizontal="left"/>
      <protection locked="0"/>
    </xf>
    <xf numFmtId="0" fontId="31" fillId="0" borderId="37" xfId="0" applyFont="1" applyBorder="1" applyAlignment="1" applyProtection="1">
      <alignment horizontal="left"/>
      <protection locked="0"/>
    </xf>
    <xf numFmtId="0" fontId="31" fillId="0" borderId="1" xfId="0" applyFont="1" applyBorder="1" applyAlignment="1" applyProtection="1">
      <alignment horizontal="left"/>
      <protection locked="0"/>
    </xf>
    <xf numFmtId="0" fontId="31" fillId="0" borderId="38" xfId="0" applyFont="1" applyBorder="1" applyAlignment="1" applyProtection="1">
      <alignment horizontal="left"/>
      <protection locked="0"/>
    </xf>
    <xf numFmtId="0" fontId="32" fillId="0" borderId="99" xfId="0" applyFont="1" applyBorder="1" applyAlignment="1" applyProtection="1">
      <alignment horizontal="left"/>
      <protection locked="0"/>
    </xf>
    <xf numFmtId="0" fontId="32" fillId="0" borderId="85" xfId="0" applyFont="1" applyBorder="1" applyAlignment="1" applyProtection="1">
      <alignment horizontal="left"/>
      <protection locked="0"/>
    </xf>
    <xf numFmtId="0" fontId="32" fillId="0" borderId="100" xfId="0" applyFont="1" applyBorder="1" applyAlignment="1" applyProtection="1">
      <alignment horizontal="left"/>
      <protection locked="0"/>
    </xf>
    <xf numFmtId="0" fontId="1" fillId="0" borderId="40" xfId="0" applyFont="1" applyBorder="1" applyAlignment="1" applyProtection="1">
      <alignment horizontal="left"/>
      <protection locked="0"/>
    </xf>
    <xf numFmtId="0" fontId="1" fillId="0" borderId="82" xfId="0" applyFont="1" applyBorder="1" applyAlignment="1" applyProtection="1">
      <alignment horizontal="left"/>
      <protection locked="0"/>
    </xf>
    <xf numFmtId="0" fontId="1" fillId="0" borderId="41" xfId="0" applyFont="1" applyBorder="1" applyAlignment="1" applyProtection="1">
      <alignment horizontal="left"/>
      <protection locked="0"/>
    </xf>
    <xf numFmtId="0" fontId="1" fillId="0" borderId="37" xfId="0" applyFont="1" applyBorder="1" applyAlignment="1" applyProtection="1">
      <alignment horizontal="left"/>
      <protection locked="0"/>
    </xf>
    <xf numFmtId="0" fontId="1" fillId="0" borderId="38" xfId="0" applyFont="1" applyBorder="1" applyAlignment="1" applyProtection="1">
      <alignment horizontal="left"/>
      <protection locked="0"/>
    </xf>
    <xf numFmtId="0" fontId="29" fillId="0" borderId="37" xfId="0" applyFont="1" applyBorder="1" applyAlignment="1" applyProtection="1">
      <alignment horizontal="left" wrapText="1"/>
      <protection locked="0"/>
    </xf>
    <xf numFmtId="0" fontId="29" fillId="0" borderId="38" xfId="0" applyFont="1" applyBorder="1" applyAlignment="1" applyProtection="1">
      <alignment horizontal="left" wrapText="1"/>
      <protection locked="0"/>
    </xf>
    <xf numFmtId="0" fontId="0" fillId="0" borderId="99" xfId="0" applyBorder="1" applyAlignment="1" applyProtection="1">
      <alignment horizontal="left"/>
      <protection locked="0"/>
    </xf>
    <xf numFmtId="0" fontId="0" fillId="0" borderId="85" xfId="0" applyBorder="1" applyAlignment="1" applyProtection="1">
      <alignment horizontal="left"/>
      <protection locked="0"/>
    </xf>
    <xf numFmtId="0" fontId="0" fillId="0" borderId="100" xfId="0" applyBorder="1" applyAlignment="1" applyProtection="1">
      <alignment horizontal="left"/>
      <protection locked="0"/>
    </xf>
    <xf numFmtId="168" fontId="0" fillId="0" borderId="5" xfId="1" applyNumberFormat="1" applyFont="1" applyBorder="1" applyAlignment="1" applyProtection="1">
      <alignment horizontal="center"/>
      <protection locked="0"/>
    </xf>
    <xf numFmtId="168" fontId="0" fillId="0" borderId="54" xfId="1" applyNumberFormat="1" applyFont="1" applyBorder="1" applyAlignment="1" applyProtection="1">
      <alignment horizontal="center"/>
      <protection locked="0"/>
    </xf>
    <xf numFmtId="168" fontId="0" fillId="0" borderId="99" xfId="1" applyNumberFormat="1" applyFont="1" applyBorder="1" applyAlignment="1" applyProtection="1">
      <alignment horizontal="center"/>
      <protection locked="0"/>
    </xf>
    <xf numFmtId="168" fontId="0" fillId="0" borderId="100" xfId="1" applyNumberFormat="1" applyFont="1" applyBorder="1" applyAlignment="1" applyProtection="1">
      <alignment horizontal="center"/>
      <protection locked="0"/>
    </xf>
    <xf numFmtId="0" fontId="31" fillId="0" borderId="97" xfId="0" applyFont="1" applyBorder="1" applyAlignment="1" applyProtection="1">
      <alignment horizontal="left"/>
      <protection locked="0"/>
    </xf>
    <xf numFmtId="0" fontId="31" fillId="0" borderId="12" xfId="0" applyFont="1" applyBorder="1" applyAlignment="1" applyProtection="1">
      <alignment horizontal="left"/>
      <protection locked="0"/>
    </xf>
    <xf numFmtId="0" fontId="31" fillId="0" borderId="102" xfId="0" applyFont="1" applyBorder="1" applyAlignment="1" applyProtection="1">
      <alignment horizontal="left"/>
      <protection locked="0"/>
    </xf>
    <xf numFmtId="0" fontId="33" fillId="0" borderId="97" xfId="0" applyFont="1" applyBorder="1" applyAlignment="1" applyProtection="1">
      <alignment horizontal="left"/>
      <protection locked="0"/>
    </xf>
    <xf numFmtId="0" fontId="33" fillId="0" borderId="12" xfId="0" applyFont="1" applyBorder="1" applyAlignment="1" applyProtection="1">
      <alignment horizontal="left"/>
      <protection locked="0"/>
    </xf>
    <xf numFmtId="0" fontId="33" fillId="0" borderId="102" xfId="0" applyFont="1" applyBorder="1" applyAlignment="1" applyProtection="1">
      <alignment horizontal="left"/>
      <protection locked="0"/>
    </xf>
    <xf numFmtId="165" fontId="0" fillId="0" borderId="67" xfId="1" applyFont="1" applyBorder="1" applyAlignment="1" applyProtection="1">
      <alignment horizontal="center"/>
      <protection locked="0"/>
    </xf>
    <xf numFmtId="0" fontId="32" fillId="0" borderId="53" xfId="0" applyFont="1" applyBorder="1" applyAlignment="1" applyProtection="1">
      <alignment horizontal="left"/>
      <protection locked="0"/>
    </xf>
    <xf numFmtId="0" fontId="32" fillId="0" borderId="5" xfId="0" applyFont="1" applyBorder="1" applyAlignment="1" applyProtection="1">
      <alignment horizontal="left"/>
      <protection locked="0"/>
    </xf>
    <xf numFmtId="0" fontId="32" fillId="0" borderId="96" xfId="0" applyFont="1" applyBorder="1" applyAlignment="1" applyProtection="1">
      <alignment horizontal="left"/>
      <protection locked="0"/>
    </xf>
    <xf numFmtId="165" fontId="0" fillId="0" borderId="97" xfId="1" applyFont="1" applyBorder="1" applyAlignment="1" applyProtection="1">
      <alignment horizontal="center"/>
      <protection locked="0"/>
    </xf>
    <xf numFmtId="165" fontId="0" fillId="0" borderId="12" xfId="1" applyFont="1" applyBorder="1" applyAlignment="1" applyProtection="1">
      <alignment horizontal="center"/>
      <protection locked="0"/>
    </xf>
    <xf numFmtId="165" fontId="0" fillId="0" borderId="13" xfId="1" applyFont="1" applyBorder="1" applyAlignment="1" applyProtection="1">
      <alignment horizontal="center"/>
      <protection locked="0"/>
    </xf>
    <xf numFmtId="170" fontId="0" fillId="0" borderId="105" xfId="0" applyNumberFormat="1" applyBorder="1" applyAlignment="1" applyProtection="1">
      <alignment horizontal="center"/>
      <protection locked="0"/>
    </xf>
    <xf numFmtId="0" fontId="0" fillId="0" borderId="77" xfId="0" applyBorder="1" applyAlignment="1" applyProtection="1">
      <alignment horizontal="center"/>
      <protection locked="0"/>
    </xf>
    <xf numFmtId="0" fontId="0" fillId="0" borderId="84" xfId="0" applyBorder="1" applyAlignment="1" applyProtection="1">
      <alignment horizontal="center"/>
      <protection locked="0"/>
    </xf>
    <xf numFmtId="0" fontId="1" fillId="0" borderId="5" xfId="0" applyFont="1" applyBorder="1" applyAlignment="1" applyProtection="1">
      <alignment horizontal="center" vertical="center" textRotation="90" wrapText="1"/>
      <protection locked="0"/>
    </xf>
    <xf numFmtId="0" fontId="1" fillId="0" borderId="96" xfId="0" applyFont="1" applyBorder="1" applyAlignment="1" applyProtection="1">
      <alignment horizontal="center" vertical="center" textRotation="90" wrapText="1"/>
      <protection locked="0"/>
    </xf>
    <xf numFmtId="0" fontId="1" fillId="0" borderId="1" xfId="0" applyFont="1" applyBorder="1" applyAlignment="1" applyProtection="1">
      <alignment horizontal="center" vertical="center" textRotation="90" wrapText="1"/>
      <protection locked="0"/>
    </xf>
    <xf numFmtId="0" fontId="1" fillId="0" borderId="85" xfId="0" applyFont="1" applyBorder="1" applyAlignment="1" applyProtection="1">
      <alignment horizontal="center" vertical="center" textRotation="90" wrapText="1"/>
      <protection locked="0"/>
    </xf>
    <xf numFmtId="0" fontId="1" fillId="0" borderId="86" xfId="0" applyFont="1" applyBorder="1" applyAlignment="1" applyProtection="1">
      <alignment horizontal="center" vertical="center" textRotation="90" wrapText="1"/>
      <protection locked="0"/>
    </xf>
    <xf numFmtId="0" fontId="31" fillId="0" borderId="40" xfId="0" applyFont="1" applyBorder="1" applyAlignment="1" applyProtection="1">
      <alignment horizontal="left"/>
      <protection locked="0"/>
    </xf>
    <xf numFmtId="0" fontId="31" fillId="0" borderId="82" xfId="0" applyFont="1" applyBorder="1" applyAlignment="1" applyProtection="1">
      <alignment horizontal="left"/>
      <protection locked="0"/>
    </xf>
    <xf numFmtId="0" fontId="31" fillId="0" borderId="41" xfId="0" applyFont="1" applyBorder="1" applyAlignment="1" applyProtection="1">
      <alignment horizontal="left"/>
      <protection locked="0"/>
    </xf>
    <xf numFmtId="0" fontId="0" fillId="0" borderId="37" xfId="0" applyBorder="1" applyAlignment="1" applyProtection="1">
      <alignment horizontal="center"/>
      <protection locked="0"/>
    </xf>
    <xf numFmtId="0" fontId="0" fillId="0" borderId="38" xfId="0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left"/>
      <protection locked="0"/>
    </xf>
    <xf numFmtId="0" fontId="0" fillId="0" borderId="83" xfId="0" applyBorder="1" applyAlignment="1" applyProtection="1">
      <alignment horizontal="left"/>
      <protection locked="0"/>
    </xf>
    <xf numFmtId="0" fontId="0" fillId="0" borderId="49" xfId="0" applyBorder="1" applyAlignment="1" applyProtection="1">
      <alignment horizontal="left"/>
      <protection locked="0"/>
    </xf>
    <xf numFmtId="172" fontId="0" fillId="0" borderId="40" xfId="1" applyNumberFormat="1" applyFont="1" applyBorder="1" applyAlignment="1" applyProtection="1">
      <alignment horizontal="center"/>
      <protection locked="0"/>
    </xf>
    <xf numFmtId="172" fontId="0" fillId="0" borderId="37" xfId="1" applyNumberFormat="1" applyFont="1" applyBorder="1" applyAlignment="1" applyProtection="1">
      <alignment horizontal="center"/>
      <protection locked="0"/>
    </xf>
    <xf numFmtId="172" fontId="0" fillId="0" borderId="37" xfId="0" applyNumberFormat="1" applyBorder="1" applyAlignment="1" applyProtection="1">
      <alignment horizontal="center"/>
      <protection locked="0"/>
    </xf>
    <xf numFmtId="165" fontId="0" fillId="0" borderId="99" xfId="1" applyFont="1" applyBorder="1" applyAlignment="1" applyProtection="1">
      <alignment horizontal="center"/>
      <protection locked="0"/>
    </xf>
    <xf numFmtId="165" fontId="0" fillId="0" borderId="85" xfId="1" applyFont="1" applyBorder="1" applyAlignment="1" applyProtection="1">
      <alignment horizontal="center"/>
      <protection locked="0"/>
    </xf>
    <xf numFmtId="165" fontId="0" fillId="0" borderId="100" xfId="1" applyFont="1" applyBorder="1" applyAlignment="1" applyProtection="1">
      <alignment horizontal="center"/>
      <protection locked="0"/>
    </xf>
    <xf numFmtId="168" fontId="1" fillId="0" borderId="66" xfId="1" applyNumberFormat="1" applyFont="1" applyBorder="1" applyAlignment="1" applyProtection="1">
      <alignment horizontal="center" vertical="center"/>
      <protection locked="0"/>
    </xf>
    <xf numFmtId="168" fontId="1" fillId="0" borderId="67" xfId="1" applyNumberFormat="1" applyFont="1" applyBorder="1" applyAlignment="1" applyProtection="1">
      <alignment horizontal="center" vertical="center"/>
      <protection locked="0"/>
    </xf>
    <xf numFmtId="168" fontId="1" fillId="0" borderId="68" xfId="1" applyNumberFormat="1" applyFont="1" applyBorder="1" applyAlignment="1" applyProtection="1">
      <alignment horizontal="center" vertical="center"/>
      <protection locked="0"/>
    </xf>
    <xf numFmtId="14" fontId="34" fillId="0" borderId="19" xfId="4" applyNumberFormat="1" applyFont="1" applyBorder="1" applyAlignment="1" applyProtection="1">
      <alignment horizontal="center" vertical="center"/>
      <protection locked="0" hidden="1"/>
    </xf>
    <xf numFmtId="14" fontId="34" fillId="0" borderId="20" xfId="4" applyNumberFormat="1" applyFont="1" applyBorder="1" applyAlignment="1" applyProtection="1">
      <alignment horizontal="center" vertical="center"/>
      <protection locked="0" hidden="1"/>
    </xf>
    <xf numFmtId="14" fontId="34" fillId="0" borderId="21" xfId="4" applyNumberFormat="1" applyFont="1" applyBorder="1" applyAlignment="1" applyProtection="1">
      <alignment horizontal="center" vertical="center"/>
      <protection locked="0" hidden="1"/>
    </xf>
    <xf numFmtId="0" fontId="15" fillId="0" borderId="66" xfId="4" applyFont="1" applyBorder="1" applyAlignment="1" applyProtection="1">
      <alignment horizontal="center" vertical="center"/>
      <protection locked="0" hidden="1"/>
    </xf>
    <xf numFmtId="0" fontId="15" fillId="0" borderId="67" xfId="4" applyFont="1" applyBorder="1" applyAlignment="1" applyProtection="1">
      <alignment horizontal="center" vertical="center"/>
      <protection locked="0" hidden="1"/>
    </xf>
    <xf numFmtId="0" fontId="15" fillId="0" borderId="68" xfId="4" applyFont="1" applyBorder="1" applyAlignment="1" applyProtection="1">
      <alignment horizontal="center" vertical="center"/>
      <protection locked="0" hidden="1"/>
    </xf>
    <xf numFmtId="0" fontId="1" fillId="0" borderId="14" xfId="0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31" fillId="0" borderId="6" xfId="0" applyFont="1" applyBorder="1" applyAlignment="1" applyProtection="1">
      <alignment horizontal="center" vertical="top"/>
      <protection locked="0"/>
    </xf>
    <xf numFmtId="0" fontId="31" fillId="0" borderId="7" xfId="0" applyFont="1" applyBorder="1" applyAlignment="1" applyProtection="1">
      <alignment horizontal="center" vertical="top"/>
      <protection locked="0"/>
    </xf>
    <xf numFmtId="0" fontId="31" fillId="0" borderId="14" xfId="0" applyFont="1" applyBorder="1" applyAlignment="1" applyProtection="1">
      <alignment horizontal="center" vertical="top"/>
      <protection locked="0"/>
    </xf>
    <xf numFmtId="0" fontId="31" fillId="0" borderId="0" xfId="0" applyFont="1" applyAlignment="1" applyProtection="1">
      <alignment horizontal="center" vertical="top"/>
      <protection locked="0"/>
    </xf>
    <xf numFmtId="0" fontId="31" fillId="0" borderId="19" xfId="0" applyFont="1" applyBorder="1" applyAlignment="1" applyProtection="1">
      <alignment horizontal="center" vertical="top"/>
      <protection locked="0"/>
    </xf>
    <xf numFmtId="0" fontId="31" fillId="0" borderId="20" xfId="0" applyFont="1" applyBorder="1" applyAlignment="1" applyProtection="1">
      <alignment horizontal="center" vertical="top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 vertical="top" wrapText="1"/>
      <protection locked="0"/>
    </xf>
    <xf numFmtId="0" fontId="0" fillId="0" borderId="0" xfId="0" applyAlignment="1" applyProtection="1">
      <alignment horizontal="center" vertical="top" wrapText="1"/>
      <protection locked="0"/>
    </xf>
    <xf numFmtId="0" fontId="0" fillId="0" borderId="20" xfId="0" applyBorder="1" applyAlignment="1" applyProtection="1">
      <alignment horizontal="center" vertical="top" wrapText="1"/>
      <protection locked="0"/>
    </xf>
    <xf numFmtId="0" fontId="0" fillId="0" borderId="6" xfId="0" applyBorder="1" applyAlignment="1" applyProtection="1">
      <alignment horizontal="left" vertical="top"/>
      <protection locked="0"/>
    </xf>
    <xf numFmtId="0" fontId="0" fillId="0" borderId="7" xfId="0" applyBorder="1" applyAlignment="1" applyProtection="1">
      <alignment horizontal="left" vertical="top"/>
      <protection locked="0"/>
    </xf>
    <xf numFmtId="0" fontId="0" fillId="0" borderId="11" xfId="0" applyBorder="1" applyAlignment="1" applyProtection="1">
      <alignment horizontal="left" vertical="top"/>
      <protection locked="0"/>
    </xf>
    <xf numFmtId="0" fontId="0" fillId="0" borderId="14" xfId="0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0" fillId="0" borderId="18" xfId="0" applyBorder="1" applyAlignment="1" applyProtection="1">
      <alignment horizontal="left" vertical="top"/>
      <protection locked="0"/>
    </xf>
    <xf numFmtId="0" fontId="0" fillId="0" borderId="19" xfId="0" applyBorder="1" applyAlignment="1" applyProtection="1">
      <alignment horizontal="left" vertical="top"/>
      <protection locked="0"/>
    </xf>
    <xf numFmtId="0" fontId="0" fillId="0" borderId="20" xfId="0" applyBorder="1" applyAlignment="1" applyProtection="1">
      <alignment horizontal="left" vertical="top"/>
      <protection locked="0"/>
    </xf>
    <xf numFmtId="0" fontId="0" fillId="0" borderId="21" xfId="0" applyBorder="1" applyAlignment="1" applyProtection="1">
      <alignment horizontal="left" vertical="top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0" fillId="0" borderId="21" xfId="0" applyBorder="1" applyAlignment="1" applyProtection="1">
      <alignment horizontal="center"/>
      <protection locked="0"/>
    </xf>
    <xf numFmtId="0" fontId="33" fillId="0" borderId="85" xfId="0" applyFont="1" applyBorder="1" applyAlignment="1" applyProtection="1">
      <alignment horizontal="center"/>
      <protection locked="0"/>
    </xf>
    <xf numFmtId="168" fontId="0" fillId="0" borderId="87" xfId="1" applyNumberFormat="1" applyFont="1" applyBorder="1" applyAlignment="1" applyProtection="1">
      <alignment horizontal="center"/>
      <protection locked="0"/>
    </xf>
    <xf numFmtId="0" fontId="1" fillId="0" borderId="85" xfId="0" applyFont="1" applyBorder="1" applyAlignment="1" applyProtection="1">
      <alignment horizontal="left"/>
      <protection locked="0"/>
    </xf>
    <xf numFmtId="172" fontId="0" fillId="0" borderId="48" xfId="1" applyNumberFormat="1" applyFont="1" applyBorder="1" applyAlignment="1" applyProtection="1">
      <alignment horizontal="center"/>
      <protection locked="0"/>
    </xf>
    <xf numFmtId="172" fontId="0" fillId="0" borderId="83" xfId="1" applyNumberFormat="1" applyFont="1" applyBorder="1" applyAlignment="1" applyProtection="1">
      <alignment horizontal="center"/>
      <protection locked="0"/>
    </xf>
    <xf numFmtId="172" fontId="0" fillId="0" borderId="49" xfId="1" applyNumberFormat="1" applyFont="1" applyBorder="1" applyAlignment="1" applyProtection="1">
      <alignment horizontal="center"/>
      <protection locked="0"/>
    </xf>
    <xf numFmtId="0" fontId="1" fillId="0" borderId="41" xfId="0" applyFont="1" applyBorder="1" applyAlignment="1" applyProtection="1">
      <alignment horizontal="center" vertical="center" textRotation="90" wrapText="1"/>
      <protection locked="0"/>
    </xf>
    <xf numFmtId="0" fontId="1" fillId="0" borderId="38" xfId="0" applyFont="1" applyBorder="1" applyAlignment="1" applyProtection="1">
      <alignment horizontal="center" vertical="center" textRotation="90" wrapText="1"/>
      <protection locked="0"/>
    </xf>
    <xf numFmtId="0" fontId="1" fillId="0" borderId="99" xfId="0" applyFont="1" applyBorder="1" applyAlignment="1" applyProtection="1">
      <alignment horizontal="center" vertical="center" textRotation="90" wrapText="1"/>
      <protection locked="0"/>
    </xf>
    <xf numFmtId="0" fontId="1" fillId="0" borderId="100" xfId="0" applyFont="1" applyBorder="1" applyAlignment="1" applyProtection="1">
      <alignment horizontal="center" vertical="center" textRotation="90" wrapText="1"/>
      <protection locked="0"/>
    </xf>
    <xf numFmtId="0" fontId="1" fillId="0" borderId="40" xfId="0" applyFont="1" applyBorder="1" applyAlignment="1" applyProtection="1">
      <alignment horizontal="center"/>
      <protection locked="0"/>
    </xf>
    <xf numFmtId="0" fontId="1" fillId="0" borderId="82" xfId="0" applyFont="1" applyBorder="1" applyAlignment="1" applyProtection="1">
      <alignment horizontal="center"/>
      <protection locked="0"/>
    </xf>
    <xf numFmtId="0" fontId="1" fillId="0" borderId="4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25" xfId="4" applyFont="1" applyBorder="1" applyAlignment="1" applyProtection="1">
      <alignment horizontal="left" vertical="center" wrapText="1"/>
      <protection hidden="1"/>
    </xf>
    <xf numFmtId="0" fontId="15" fillId="0" borderId="26" xfId="4" applyFont="1" applyBorder="1" applyAlignment="1" applyProtection="1">
      <alignment horizontal="left" vertical="center" wrapText="1"/>
      <protection hidden="1"/>
    </xf>
    <xf numFmtId="3" fontId="15" fillId="0" borderId="26" xfId="4" applyNumberFormat="1" applyFont="1" applyBorder="1" applyAlignment="1" applyProtection="1">
      <alignment horizontal="right" vertical="center"/>
      <protection hidden="1"/>
    </xf>
    <xf numFmtId="0" fontId="15" fillId="0" borderId="26" xfId="4" applyFont="1" applyBorder="1" applyAlignment="1" applyProtection="1">
      <alignment vertical="center"/>
      <protection hidden="1"/>
    </xf>
    <xf numFmtId="0" fontId="15" fillId="0" borderId="42" xfId="4" applyFont="1" applyBorder="1" applyAlignment="1" applyProtection="1">
      <alignment vertical="center"/>
      <protection hidden="1"/>
    </xf>
    <xf numFmtId="0" fontId="10" fillId="4" borderId="46" xfId="4" applyFont="1" applyFill="1" applyBorder="1" applyAlignment="1" applyProtection="1">
      <alignment horizontal="left" vertical="center" wrapText="1"/>
      <protection hidden="1"/>
    </xf>
    <xf numFmtId="0" fontId="10" fillId="4" borderId="26" xfId="4" applyFont="1" applyFill="1" applyBorder="1" applyAlignment="1" applyProtection="1">
      <alignment horizontal="left" vertical="center" wrapText="1"/>
      <protection hidden="1"/>
    </xf>
    <xf numFmtId="0" fontId="10" fillId="4" borderId="25" xfId="4" applyFont="1" applyFill="1" applyBorder="1" applyAlignment="1" applyProtection="1">
      <alignment horizontal="left" vertical="center" wrapText="1"/>
      <protection hidden="1"/>
    </xf>
    <xf numFmtId="0" fontId="10" fillId="4" borderId="26" xfId="4" applyFont="1" applyFill="1" applyBorder="1" applyAlignment="1" applyProtection="1">
      <alignment vertical="center" wrapText="1"/>
      <protection hidden="1"/>
    </xf>
    <xf numFmtId="3" fontId="10" fillId="4" borderId="26" xfId="4" applyNumberFormat="1" applyFont="1" applyFill="1" applyBorder="1" applyAlignment="1" applyProtection="1">
      <alignment horizontal="right" vertical="center"/>
      <protection hidden="1"/>
    </xf>
    <xf numFmtId="0" fontId="10" fillId="4" borderId="26" xfId="4" applyFont="1" applyFill="1" applyBorder="1" applyAlignment="1" applyProtection="1">
      <alignment vertical="center"/>
      <protection hidden="1"/>
    </xf>
    <xf numFmtId="0" fontId="10" fillId="4" borderId="42" xfId="4" applyFont="1" applyFill="1" applyBorder="1" applyAlignment="1" applyProtection="1">
      <alignment vertical="center"/>
      <protection hidden="1"/>
    </xf>
    <xf numFmtId="0" fontId="15" fillId="0" borderId="46" xfId="4" applyFont="1" applyBorder="1" applyAlignment="1" applyProtection="1">
      <alignment horizontal="left" vertical="center" wrapText="1"/>
      <protection hidden="1"/>
    </xf>
    <xf numFmtId="0" fontId="10" fillId="0" borderId="25" xfId="4" applyFont="1" applyBorder="1" applyAlignment="1" applyProtection="1">
      <alignment horizontal="left" vertical="center" wrapText="1"/>
      <protection hidden="1"/>
    </xf>
    <xf numFmtId="0" fontId="10" fillId="0" borderId="26" xfId="4" applyFont="1" applyBorder="1" applyAlignment="1" applyProtection="1">
      <alignment horizontal="left" vertical="center" wrapText="1"/>
      <protection hidden="1"/>
    </xf>
    <xf numFmtId="3" fontId="10" fillId="0" borderId="26" xfId="4" applyNumberFormat="1" applyFont="1" applyBorder="1" applyAlignment="1" applyProtection="1">
      <alignment horizontal="right" vertical="center"/>
      <protection hidden="1"/>
    </xf>
    <xf numFmtId="0" fontId="10" fillId="0" borderId="26" xfId="4" applyFont="1" applyBorder="1" applyAlignment="1" applyProtection="1">
      <alignment vertical="center"/>
      <protection hidden="1"/>
    </xf>
    <xf numFmtId="0" fontId="10" fillId="0" borderId="42" xfId="4" applyFont="1" applyBorder="1" applyAlignment="1" applyProtection="1">
      <alignment vertical="center"/>
      <protection hidden="1"/>
    </xf>
    <xf numFmtId="0" fontId="10" fillId="4" borderId="46" xfId="4" applyFont="1" applyFill="1" applyBorder="1" applyAlignment="1" applyProtection="1">
      <alignment horizontal="left" vertical="center"/>
      <protection hidden="1"/>
    </xf>
    <xf numFmtId="0" fontId="15" fillId="4" borderId="0" xfId="4" applyFont="1" applyFill="1" applyAlignment="1" applyProtection="1">
      <alignment horizontal="left" vertical="center" wrapText="1"/>
      <protection hidden="1"/>
    </xf>
    <xf numFmtId="3" fontId="15" fillId="4" borderId="26" xfId="4" applyNumberFormat="1" applyFont="1" applyFill="1" applyBorder="1" applyAlignment="1" applyProtection="1">
      <alignment horizontal="right" vertical="center"/>
      <protection hidden="1"/>
    </xf>
    <xf numFmtId="0" fontId="15" fillId="4" borderId="26" xfId="4" applyFont="1" applyFill="1" applyBorder="1" applyAlignment="1" applyProtection="1">
      <alignment vertical="center"/>
      <protection hidden="1"/>
    </xf>
    <xf numFmtId="0" fontId="15" fillId="4" borderId="39" xfId="4" applyFont="1" applyFill="1" applyBorder="1" applyAlignment="1" applyProtection="1">
      <alignment vertical="center"/>
      <protection hidden="1"/>
    </xf>
    <xf numFmtId="0" fontId="15" fillId="4" borderId="25" xfId="4" applyFont="1" applyFill="1" applyBorder="1" applyAlignment="1" applyProtection="1">
      <alignment horizontal="left" vertical="center" wrapText="1"/>
      <protection hidden="1"/>
    </xf>
    <xf numFmtId="3" fontId="15" fillId="4" borderId="39" xfId="4" applyNumberFormat="1" applyFont="1" applyFill="1" applyBorder="1" applyAlignment="1" applyProtection="1">
      <alignment horizontal="right" vertical="center"/>
      <protection hidden="1"/>
    </xf>
    <xf numFmtId="3" fontId="15" fillId="4" borderId="0" xfId="4" applyNumberFormat="1" applyFont="1" applyFill="1" applyAlignment="1" applyProtection="1">
      <alignment horizontal="right" vertical="center"/>
      <protection hidden="1"/>
    </xf>
    <xf numFmtId="3" fontId="15" fillId="4" borderId="18" xfId="4" applyNumberFormat="1" applyFont="1" applyFill="1" applyBorder="1" applyAlignment="1" applyProtection="1">
      <alignment horizontal="right" vertical="center"/>
      <protection hidden="1"/>
    </xf>
    <xf numFmtId="0" fontId="10" fillId="4" borderId="20" xfId="4" applyFont="1" applyFill="1" applyBorder="1" applyAlignment="1" applyProtection="1">
      <alignment horizontal="left" vertical="center" wrapText="1"/>
      <protection hidden="1"/>
    </xf>
    <xf numFmtId="0" fontId="10" fillId="4" borderId="56" xfId="4" applyFont="1" applyFill="1" applyBorder="1" applyAlignment="1" applyProtection="1">
      <alignment horizontal="left" vertical="center" wrapText="1"/>
      <protection hidden="1"/>
    </xf>
    <xf numFmtId="3" fontId="10" fillId="4" borderId="57" xfId="4" applyNumberFormat="1" applyFont="1" applyFill="1" applyBorder="1" applyAlignment="1" applyProtection="1">
      <alignment horizontal="right" vertical="center"/>
      <protection hidden="1"/>
    </xf>
    <xf numFmtId="3" fontId="10" fillId="4" borderId="20" xfId="4" applyNumberFormat="1" applyFont="1" applyFill="1" applyBorder="1" applyAlignment="1" applyProtection="1">
      <alignment horizontal="right" vertical="center"/>
      <protection hidden="1"/>
    </xf>
    <xf numFmtId="3" fontId="10" fillId="4" borderId="21" xfId="4" applyNumberFormat="1" applyFont="1" applyFill="1" applyBorder="1" applyAlignment="1" applyProtection="1">
      <alignment horizontal="right" vertical="center"/>
      <protection hidden="1"/>
    </xf>
    <xf numFmtId="3" fontId="10" fillId="4" borderId="39" xfId="4" applyNumberFormat="1" applyFont="1" applyFill="1" applyBorder="1" applyAlignment="1" applyProtection="1">
      <alignment horizontal="right" vertical="center"/>
      <protection hidden="1"/>
    </xf>
    <xf numFmtId="3" fontId="10" fillId="4" borderId="0" xfId="4" applyNumberFormat="1" applyFont="1" applyFill="1" applyAlignment="1" applyProtection="1">
      <alignment horizontal="right" vertical="center"/>
      <protection hidden="1"/>
    </xf>
    <xf numFmtId="3" fontId="10" fillId="4" borderId="18" xfId="4" applyNumberFormat="1" applyFont="1" applyFill="1" applyBorder="1" applyAlignment="1" applyProtection="1">
      <alignment horizontal="right" vertical="center"/>
      <protection hidden="1"/>
    </xf>
    <xf numFmtId="0" fontId="10" fillId="0" borderId="0" xfId="4" applyFont="1" applyAlignment="1" applyProtection="1">
      <alignment horizontal="left" vertical="center" wrapText="1"/>
      <protection hidden="1"/>
    </xf>
    <xf numFmtId="3" fontId="10" fillId="0" borderId="0" xfId="4" applyNumberFormat="1" applyFont="1" applyAlignment="1" applyProtection="1">
      <alignment horizontal="right" vertical="center"/>
      <protection hidden="1"/>
    </xf>
    <xf numFmtId="3" fontId="10" fillId="0" borderId="18" xfId="4" applyNumberFormat="1" applyFont="1" applyBorder="1" applyAlignment="1" applyProtection="1">
      <alignment horizontal="right" vertical="center"/>
      <protection hidden="1"/>
    </xf>
    <xf numFmtId="0" fontId="15" fillId="9" borderId="50" xfId="4" applyFont="1" applyFill="1" applyBorder="1" applyAlignment="1" applyProtection="1">
      <alignment horizontal="left" vertical="center" wrapText="1"/>
      <protection hidden="1"/>
    </xf>
    <xf numFmtId="0" fontId="15" fillId="9" borderId="51" xfId="4" applyFont="1" applyFill="1" applyBorder="1" applyAlignment="1" applyProtection="1">
      <alignment horizontal="left" vertical="center" wrapText="1"/>
      <protection hidden="1"/>
    </xf>
    <xf numFmtId="3" fontId="15" fillId="9" borderId="51" xfId="4" applyNumberFormat="1" applyFont="1" applyFill="1" applyBorder="1" applyAlignment="1" applyProtection="1">
      <alignment horizontal="right" vertical="center"/>
      <protection hidden="1"/>
    </xf>
    <xf numFmtId="0" fontId="15" fillId="9" borderId="51" xfId="4" applyFont="1" applyFill="1" applyBorder="1" applyAlignment="1" applyProtection="1">
      <alignment vertical="center"/>
      <protection hidden="1"/>
    </xf>
    <xf numFmtId="0" fontId="15" fillId="9" borderId="52" xfId="4" applyFont="1" applyFill="1" applyBorder="1" applyAlignment="1" applyProtection="1">
      <alignment vertical="center"/>
      <protection hidden="1"/>
    </xf>
    <xf numFmtId="0" fontId="15" fillId="0" borderId="53" xfId="4" applyFont="1" applyBorder="1" applyAlignment="1" applyProtection="1">
      <alignment horizontal="center" vertical="center" textRotation="90" wrapText="1"/>
      <protection hidden="1"/>
    </xf>
    <xf numFmtId="0" fontId="15" fillId="0" borderId="54" xfId="4" applyFont="1" applyBorder="1" applyAlignment="1" applyProtection="1">
      <alignment horizontal="center" vertical="center" textRotation="90" wrapText="1"/>
      <protection hidden="1"/>
    </xf>
    <xf numFmtId="0" fontId="15" fillId="0" borderId="37" xfId="4" applyFont="1" applyBorder="1" applyAlignment="1" applyProtection="1">
      <alignment horizontal="center" vertical="center" textRotation="90" wrapText="1"/>
      <protection hidden="1"/>
    </xf>
    <xf numFmtId="0" fontId="15" fillId="0" borderId="38" xfId="4" applyFont="1" applyBorder="1" applyAlignment="1" applyProtection="1">
      <alignment horizontal="center" vertical="center" textRotation="90" wrapText="1"/>
      <protection hidden="1"/>
    </xf>
    <xf numFmtId="0" fontId="10" fillId="0" borderId="46" xfId="4" applyFont="1" applyBorder="1" applyAlignment="1" applyProtection="1">
      <alignment horizontal="left" vertical="center" wrapText="1"/>
      <protection hidden="1"/>
    </xf>
    <xf numFmtId="0" fontId="10" fillId="0" borderId="26" xfId="4" applyFont="1" applyBorder="1" applyAlignment="1" applyProtection="1">
      <alignment vertical="center" wrapText="1"/>
      <protection hidden="1"/>
    </xf>
    <xf numFmtId="3" fontId="10" fillId="0" borderId="61" xfId="4" applyNumberFormat="1" applyFont="1" applyBorder="1" applyAlignment="1" applyProtection="1">
      <alignment vertical="center"/>
      <protection hidden="1"/>
    </xf>
    <xf numFmtId="3" fontId="10" fillId="0" borderId="7" xfId="4" applyNumberFormat="1" applyFont="1" applyBorder="1" applyAlignment="1" applyProtection="1">
      <alignment vertical="center"/>
      <protection hidden="1"/>
    </xf>
    <xf numFmtId="3" fontId="10" fillId="0" borderId="55" xfId="4" applyNumberFormat="1" applyFont="1" applyBorder="1" applyAlignment="1" applyProtection="1">
      <alignment vertical="center"/>
      <protection hidden="1"/>
    </xf>
    <xf numFmtId="3" fontId="10" fillId="4" borderId="39" xfId="4" applyNumberFormat="1" applyFont="1" applyFill="1" applyBorder="1" applyAlignment="1" applyProtection="1">
      <alignment vertical="center"/>
      <protection hidden="1"/>
    </xf>
    <xf numFmtId="3" fontId="10" fillId="4" borderId="0" xfId="4" applyNumberFormat="1" applyFont="1" applyFill="1" applyAlignment="1" applyProtection="1">
      <alignment vertical="center"/>
      <protection hidden="1"/>
    </xf>
    <xf numFmtId="3" fontId="10" fillId="4" borderId="25" xfId="4" applyNumberFormat="1" applyFont="1" applyFill="1" applyBorder="1" applyAlignment="1" applyProtection="1">
      <alignment vertical="center"/>
      <protection hidden="1"/>
    </xf>
    <xf numFmtId="3" fontId="15" fillId="0" borderId="39" xfId="4" applyNumberFormat="1" applyFont="1" applyBorder="1" applyAlignment="1" applyProtection="1">
      <alignment vertical="center"/>
      <protection hidden="1"/>
    </xf>
    <xf numFmtId="3" fontId="15" fillId="0" borderId="0" xfId="4" applyNumberFormat="1" applyFont="1" applyAlignment="1" applyProtection="1">
      <alignment vertical="center"/>
      <protection hidden="1"/>
    </xf>
    <xf numFmtId="3" fontId="15" fillId="0" borderId="25" xfId="4" applyNumberFormat="1" applyFont="1" applyBorder="1" applyAlignment="1" applyProtection="1">
      <alignment vertical="center"/>
      <protection hidden="1"/>
    </xf>
    <xf numFmtId="3" fontId="15" fillId="0" borderId="57" xfId="4" applyNumberFormat="1" applyFont="1" applyBorder="1" applyAlignment="1" applyProtection="1">
      <alignment vertical="center"/>
      <protection hidden="1"/>
    </xf>
    <xf numFmtId="3" fontId="15" fillId="0" borderId="20" xfId="4" applyNumberFormat="1" applyFont="1" applyBorder="1" applyAlignment="1" applyProtection="1">
      <alignment vertical="center"/>
      <protection hidden="1"/>
    </xf>
    <xf numFmtId="3" fontId="15" fillId="0" borderId="56" xfId="4" applyNumberFormat="1" applyFont="1" applyBorder="1" applyAlignment="1" applyProtection="1">
      <alignment vertical="center"/>
      <protection hidden="1"/>
    </xf>
    <xf numFmtId="0" fontId="15" fillId="0" borderId="50" xfId="4" applyFont="1" applyBorder="1" applyAlignment="1" applyProtection="1">
      <alignment horizontal="left" vertical="center" wrapText="1"/>
      <protection hidden="1"/>
    </xf>
    <xf numFmtId="0" fontId="15" fillId="0" borderId="51" xfId="4" applyFont="1" applyBorder="1" applyAlignment="1" applyProtection="1">
      <alignment horizontal="left" vertical="center" wrapText="1"/>
      <protection hidden="1"/>
    </xf>
    <xf numFmtId="0" fontId="15" fillId="0" borderId="6" xfId="4" applyFont="1" applyBorder="1" applyAlignment="1" applyProtection="1">
      <alignment horizontal="center" vertical="center" textRotation="90" wrapText="1"/>
      <protection hidden="1"/>
    </xf>
    <xf numFmtId="0" fontId="15" fillId="0" borderId="11" xfId="4" applyFont="1" applyBorder="1" applyAlignment="1" applyProtection="1">
      <alignment horizontal="center" vertical="center" textRotation="90" wrapText="1"/>
      <protection hidden="1"/>
    </xf>
    <xf numFmtId="0" fontId="15" fillId="0" borderId="14" xfId="4" applyFont="1" applyBorder="1" applyAlignment="1" applyProtection="1">
      <alignment horizontal="center" vertical="center" textRotation="90" wrapText="1"/>
      <protection hidden="1"/>
    </xf>
    <xf numFmtId="0" fontId="15" fillId="0" borderId="18" xfId="4" applyFont="1" applyBorder="1" applyAlignment="1" applyProtection="1">
      <alignment horizontal="center" vertical="center" textRotation="90" wrapText="1"/>
      <protection hidden="1"/>
    </xf>
    <xf numFmtId="0" fontId="15" fillId="0" borderId="19" xfId="4" applyFont="1" applyBorder="1" applyAlignment="1" applyProtection="1">
      <alignment horizontal="center" vertical="center" textRotation="90" wrapText="1"/>
      <protection hidden="1"/>
    </xf>
    <xf numFmtId="0" fontId="15" fillId="0" borderId="21" xfId="4" applyFont="1" applyBorder="1" applyAlignment="1" applyProtection="1">
      <alignment horizontal="center" vertical="center" textRotation="90" wrapText="1"/>
      <protection hidden="1"/>
    </xf>
    <xf numFmtId="0" fontId="15" fillId="0" borderId="7" xfId="4" applyFont="1" applyBorder="1" applyAlignment="1" applyProtection="1">
      <alignment horizontal="left" vertical="center" wrapText="1"/>
      <protection hidden="1"/>
    </xf>
    <xf numFmtId="0" fontId="1" fillId="4" borderId="0" xfId="0" applyFont="1" applyFill="1" applyProtection="1">
      <protection hidden="1"/>
    </xf>
    <xf numFmtId="3" fontId="15" fillId="0" borderId="7" xfId="4" applyNumberFormat="1" applyFont="1" applyBorder="1" applyAlignment="1" applyProtection="1">
      <alignment horizontal="right" vertical="center"/>
      <protection hidden="1"/>
    </xf>
    <xf numFmtId="3" fontId="15" fillId="0" borderId="11" xfId="4" applyNumberFormat="1" applyFont="1" applyBorder="1" applyAlignment="1" applyProtection="1">
      <alignment horizontal="right" vertical="center"/>
      <protection hidden="1"/>
    </xf>
    <xf numFmtId="3" fontId="1" fillId="4" borderId="0" xfId="0" applyNumberFormat="1" applyFont="1" applyFill="1" applyProtection="1">
      <protection hidden="1"/>
    </xf>
    <xf numFmtId="0" fontId="1" fillId="4" borderId="18" xfId="0" applyFont="1" applyFill="1" applyBorder="1" applyProtection="1">
      <protection hidden="1"/>
    </xf>
    <xf numFmtId="3" fontId="10" fillId="4" borderId="61" xfId="4" applyNumberFormat="1" applyFont="1" applyFill="1" applyBorder="1" applyAlignment="1" applyProtection="1">
      <alignment horizontal="right" vertical="center"/>
      <protection hidden="1"/>
    </xf>
    <xf numFmtId="3" fontId="10" fillId="4" borderId="7" xfId="4" applyNumberFormat="1" applyFont="1" applyFill="1" applyBorder="1" applyAlignment="1" applyProtection="1">
      <alignment horizontal="right" vertical="center"/>
      <protection hidden="1"/>
    </xf>
    <xf numFmtId="3" fontId="10" fillId="4" borderId="11" xfId="4" applyNumberFormat="1" applyFont="1" applyFill="1" applyBorder="1" applyAlignment="1" applyProtection="1">
      <alignment horizontal="right" vertical="center"/>
      <protection hidden="1"/>
    </xf>
    <xf numFmtId="3" fontId="10" fillId="0" borderId="39" xfId="4" applyNumberFormat="1" applyFont="1" applyBorder="1" applyAlignment="1" applyProtection="1">
      <alignment horizontal="right" vertical="center"/>
      <protection hidden="1"/>
    </xf>
    <xf numFmtId="3" fontId="15" fillId="0" borderId="39" xfId="4" applyNumberFormat="1" applyFont="1" applyBorder="1" applyAlignment="1" applyProtection="1">
      <alignment horizontal="right" vertical="center"/>
      <protection hidden="1"/>
    </xf>
    <xf numFmtId="3" fontId="15" fillId="0" borderId="0" xfId="4" applyNumberFormat="1" applyFont="1" applyAlignment="1" applyProtection="1">
      <alignment horizontal="right" vertical="center"/>
      <protection hidden="1"/>
    </xf>
    <xf numFmtId="3" fontId="15" fillId="0" borderId="18" xfId="4" applyNumberFormat="1" applyFont="1" applyBorder="1" applyAlignment="1" applyProtection="1">
      <alignment horizontal="right" vertical="center"/>
      <protection hidden="1"/>
    </xf>
    <xf numFmtId="0" fontId="15" fillId="0" borderId="71" xfId="4" applyFont="1" applyBorder="1" applyAlignment="1" applyProtection="1">
      <alignment horizontal="center" vertical="center" textRotation="90" wrapText="1"/>
      <protection hidden="1"/>
    </xf>
    <xf numFmtId="0" fontId="15" fillId="0" borderId="72" xfId="4" applyFont="1" applyBorder="1" applyAlignment="1" applyProtection="1">
      <alignment horizontal="center" vertical="center" textRotation="90" wrapText="1"/>
      <protection hidden="1"/>
    </xf>
    <xf numFmtId="0" fontId="10" fillId="0" borderId="14" xfId="4" applyFont="1" applyBorder="1" applyAlignment="1" applyProtection="1">
      <alignment horizontal="left" vertical="center" wrapText="1"/>
      <protection hidden="1"/>
    </xf>
    <xf numFmtId="0" fontId="10" fillId="4" borderId="6" xfId="4" applyFont="1" applyFill="1" applyBorder="1" applyAlignment="1" applyProtection="1">
      <alignment horizontal="left" vertical="center"/>
      <protection hidden="1"/>
    </xf>
    <xf numFmtId="0" fontId="10" fillId="4" borderId="7" xfId="4" applyFont="1" applyFill="1" applyBorder="1" applyAlignment="1" applyProtection="1">
      <alignment horizontal="left" vertical="center"/>
      <protection hidden="1"/>
    </xf>
    <xf numFmtId="0" fontId="10" fillId="4" borderId="55" xfId="4" applyFont="1" applyFill="1" applyBorder="1" applyAlignment="1" applyProtection="1">
      <alignment horizontal="left" vertical="center"/>
      <protection hidden="1"/>
    </xf>
    <xf numFmtId="0" fontId="10" fillId="4" borderId="14" xfId="4" applyFont="1" applyFill="1" applyBorder="1" applyAlignment="1" applyProtection="1">
      <alignment horizontal="left" vertical="center" wrapText="1"/>
      <protection hidden="1"/>
    </xf>
    <xf numFmtId="0" fontId="10" fillId="4" borderId="0" xfId="4" applyFont="1" applyFill="1" applyAlignment="1" applyProtection="1">
      <alignment horizontal="left" vertical="center" wrapText="1"/>
      <protection hidden="1"/>
    </xf>
    <xf numFmtId="0" fontId="10" fillId="0" borderId="58" xfId="4" applyFont="1" applyBorder="1" applyAlignment="1" applyProtection="1">
      <alignment horizontal="left" vertical="center" wrapText="1"/>
      <protection hidden="1"/>
    </xf>
    <xf numFmtId="0" fontId="15" fillId="4" borderId="14" xfId="4" applyFont="1" applyFill="1" applyBorder="1" applyAlignment="1" applyProtection="1">
      <alignment horizontal="left" vertical="center" wrapText="1"/>
      <protection hidden="1"/>
    </xf>
    <xf numFmtId="0" fontId="15" fillId="0" borderId="14" xfId="4" applyFont="1" applyBorder="1" applyAlignment="1" applyProtection="1">
      <alignment horizontal="left" vertical="center" wrapText="1"/>
      <protection hidden="1"/>
    </xf>
    <xf numFmtId="0" fontId="15" fillId="0" borderId="0" xfId="4" applyFont="1" applyAlignment="1" applyProtection="1">
      <alignment horizontal="left" vertical="center" wrapText="1"/>
      <protection hidden="1"/>
    </xf>
    <xf numFmtId="0" fontId="14" fillId="0" borderId="12" xfId="0" applyFont="1" applyBorder="1" applyAlignment="1" applyProtection="1">
      <alignment horizontal="center" vertical="center"/>
      <protection hidden="1"/>
    </xf>
    <xf numFmtId="0" fontId="14" fillId="0" borderId="13" xfId="0" applyFont="1" applyBorder="1" applyAlignment="1" applyProtection="1">
      <alignment horizontal="center" vertical="center"/>
      <protection hidden="1"/>
    </xf>
    <xf numFmtId="0" fontId="14" fillId="0" borderId="7" xfId="0" applyFont="1" applyBorder="1" applyAlignment="1" applyProtection="1">
      <alignment horizontal="center" vertical="center"/>
      <protection hidden="1"/>
    </xf>
    <xf numFmtId="0" fontId="14" fillId="0" borderId="11" xfId="0" applyFont="1" applyBorder="1" applyAlignment="1" applyProtection="1">
      <alignment horizontal="center" vertic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14" fillId="0" borderId="18" xfId="0" applyFont="1" applyBorder="1" applyAlignment="1" applyProtection="1">
      <alignment horizontal="center" vertical="center"/>
      <protection hidden="1"/>
    </xf>
    <xf numFmtId="0" fontId="14" fillId="0" borderId="20" xfId="0" applyFont="1" applyBorder="1" applyAlignment="1" applyProtection="1">
      <alignment horizontal="center" vertical="center"/>
      <protection hidden="1"/>
    </xf>
    <xf numFmtId="0" fontId="14" fillId="0" borderId="21" xfId="0" applyFont="1" applyBorder="1" applyAlignment="1" applyProtection="1">
      <alignment horizontal="center" vertical="center"/>
      <protection hidden="1"/>
    </xf>
    <xf numFmtId="0" fontId="9" fillId="4" borderId="7" xfId="4" applyFill="1" applyBorder="1" applyAlignment="1" applyProtection="1">
      <alignment horizontal="center" vertical="center"/>
      <protection hidden="1"/>
    </xf>
    <xf numFmtId="1" fontId="15" fillId="0" borderId="7" xfId="4" applyNumberFormat="1" applyFont="1" applyBorder="1" applyAlignment="1" applyProtection="1">
      <alignment horizontal="center" vertical="center"/>
      <protection hidden="1"/>
    </xf>
    <xf numFmtId="0" fontId="17" fillId="0" borderId="0" xfId="4" applyFont="1" applyAlignment="1" applyProtection="1">
      <alignment horizontal="right" vertical="center" wrapText="1"/>
      <protection hidden="1"/>
    </xf>
    <xf numFmtId="0" fontId="18" fillId="0" borderId="0" xfId="4" applyFont="1" applyAlignment="1" applyProtection="1">
      <alignment horizontal="right" vertical="center" wrapText="1"/>
      <protection hidden="1"/>
    </xf>
    <xf numFmtId="0" fontId="20" fillId="0" borderId="20" xfId="4" applyFont="1" applyBorder="1" applyAlignment="1" applyProtection="1">
      <alignment horizontal="center" vertical="center"/>
      <protection hidden="1"/>
    </xf>
    <xf numFmtId="0" fontId="10" fillId="0" borderId="19" xfId="4" applyFont="1" applyBorder="1" applyAlignment="1" applyProtection="1">
      <alignment horizontal="center" vertical="center"/>
      <protection hidden="1"/>
    </xf>
    <xf numFmtId="0" fontId="10" fillId="0" borderId="20" xfId="4" applyFont="1" applyBorder="1" applyAlignment="1" applyProtection="1">
      <alignment horizontal="center" vertical="center"/>
      <protection hidden="1"/>
    </xf>
    <xf numFmtId="0" fontId="10" fillId="0" borderId="21" xfId="4" applyFont="1" applyBorder="1" applyAlignment="1" applyProtection="1">
      <alignment horizontal="center" vertical="center"/>
      <protection hidden="1"/>
    </xf>
    <xf numFmtId="0" fontId="10" fillId="0" borderId="6" xfId="4" applyFont="1" applyBorder="1" applyAlignment="1" applyProtection="1">
      <alignment horizontal="center" vertical="center"/>
      <protection hidden="1"/>
    </xf>
    <xf numFmtId="0" fontId="10" fillId="0" borderId="7" xfId="4" applyFont="1" applyBorder="1" applyAlignment="1" applyProtection="1">
      <alignment horizontal="center" vertical="center"/>
      <protection hidden="1"/>
    </xf>
    <xf numFmtId="0" fontId="10" fillId="0" borderId="14" xfId="4" applyFont="1" applyBorder="1" applyAlignment="1" applyProtection="1">
      <alignment horizontal="center" vertical="center"/>
      <protection hidden="1"/>
    </xf>
    <xf numFmtId="0" fontId="10" fillId="0" borderId="0" xfId="4" applyFont="1" applyAlignment="1" applyProtection="1">
      <alignment horizontal="center" vertical="center"/>
      <protection hidden="1"/>
    </xf>
    <xf numFmtId="0" fontId="10" fillId="0" borderId="15" xfId="4" applyFont="1" applyBorder="1" applyAlignment="1" applyProtection="1">
      <alignment horizontal="center" vertical="center"/>
      <protection hidden="1"/>
    </xf>
    <xf numFmtId="0" fontId="11" fillId="0" borderId="8" xfId="4" applyFont="1" applyBorder="1" applyAlignment="1" applyProtection="1">
      <alignment horizontal="center" vertical="center" wrapText="1"/>
      <protection hidden="1"/>
    </xf>
    <xf numFmtId="0" fontId="11" fillId="0" borderId="7" xfId="4" applyFont="1" applyBorder="1" applyAlignment="1" applyProtection="1">
      <alignment horizontal="center" vertical="center" wrapText="1"/>
      <protection hidden="1"/>
    </xf>
    <xf numFmtId="0" fontId="11" fillId="0" borderId="9" xfId="4" applyFont="1" applyBorder="1" applyAlignment="1" applyProtection="1">
      <alignment horizontal="center" vertical="center" wrapText="1"/>
      <protection hidden="1"/>
    </xf>
    <xf numFmtId="0" fontId="11" fillId="0" borderId="16" xfId="4" applyFont="1" applyBorder="1" applyAlignment="1" applyProtection="1">
      <alignment horizontal="center" vertical="center" wrapText="1"/>
      <protection hidden="1"/>
    </xf>
    <xf numFmtId="0" fontId="11" fillId="0" borderId="0" xfId="4" applyFont="1" applyAlignment="1" applyProtection="1">
      <alignment horizontal="center" vertical="center" wrapText="1"/>
      <protection hidden="1"/>
    </xf>
    <xf numFmtId="0" fontId="11" fillId="0" borderId="15" xfId="4" applyFont="1" applyBorder="1" applyAlignment="1" applyProtection="1">
      <alignment horizontal="center" vertical="center" wrapText="1"/>
      <protection hidden="1"/>
    </xf>
    <xf numFmtId="0" fontId="12" fillId="4" borderId="9" xfId="4" applyFont="1" applyFill="1" applyBorder="1" applyAlignment="1" applyProtection="1">
      <alignment horizontal="center" vertical="center" wrapText="1"/>
      <protection hidden="1"/>
    </xf>
    <xf numFmtId="0" fontId="12" fillId="4" borderId="10" xfId="4" applyFont="1" applyFill="1" applyBorder="1" applyAlignment="1" applyProtection="1">
      <alignment horizontal="center" vertical="center" wrapText="1"/>
      <protection hidden="1"/>
    </xf>
    <xf numFmtId="0" fontId="12" fillId="4" borderId="8" xfId="4" applyFont="1" applyFill="1" applyBorder="1" applyAlignment="1" applyProtection="1">
      <alignment horizontal="center" vertical="center" wrapText="1"/>
      <protection hidden="1"/>
    </xf>
    <xf numFmtId="0" fontId="12" fillId="4" borderId="17" xfId="4" applyFont="1" applyFill="1" applyBorder="1" applyAlignment="1" applyProtection="1">
      <alignment horizontal="center" vertical="center" wrapText="1"/>
      <protection hidden="1"/>
    </xf>
    <xf numFmtId="0" fontId="12" fillId="4" borderId="16" xfId="4" applyFont="1" applyFill="1" applyBorder="1" applyAlignment="1" applyProtection="1">
      <alignment horizontal="center" vertical="center" wrapText="1"/>
      <protection hidden="1"/>
    </xf>
    <xf numFmtId="0" fontId="12" fillId="4" borderId="15" xfId="4" applyFont="1" applyFill="1" applyBorder="1" applyAlignment="1" applyProtection="1">
      <alignment horizontal="center" vertical="center" wrapText="1"/>
      <protection hidden="1"/>
    </xf>
    <xf numFmtId="0" fontId="13" fillId="5" borderId="6" xfId="4" applyFont="1" applyFill="1" applyBorder="1" applyAlignment="1" applyProtection="1">
      <alignment horizontal="center" vertical="center" wrapText="1"/>
      <protection hidden="1"/>
    </xf>
    <xf numFmtId="0" fontId="13" fillId="5" borderId="7" xfId="4" applyFont="1" applyFill="1" applyBorder="1" applyAlignment="1" applyProtection="1">
      <alignment horizontal="center" vertical="center" wrapText="1"/>
      <protection hidden="1"/>
    </xf>
    <xf numFmtId="0" fontId="13" fillId="5" borderId="14" xfId="4" applyFont="1" applyFill="1" applyBorder="1" applyAlignment="1" applyProtection="1">
      <alignment horizontal="center" vertical="center" wrapText="1"/>
      <protection hidden="1"/>
    </xf>
    <xf numFmtId="0" fontId="13" fillId="5" borderId="0" xfId="4" applyFont="1" applyFill="1" applyAlignment="1" applyProtection="1">
      <alignment horizontal="center" vertical="center" wrapText="1"/>
      <protection hidden="1"/>
    </xf>
    <xf numFmtId="0" fontId="13" fillId="5" borderId="19" xfId="4" applyFont="1" applyFill="1" applyBorder="1" applyAlignment="1" applyProtection="1">
      <alignment horizontal="center" vertical="center" wrapText="1"/>
      <protection hidden="1"/>
    </xf>
    <xf numFmtId="0" fontId="13" fillId="5" borderId="20" xfId="4" applyFont="1" applyFill="1" applyBorder="1" applyAlignment="1" applyProtection="1">
      <alignment horizontal="center" vertical="center" wrapText="1"/>
      <protection hidden="1"/>
    </xf>
    <xf numFmtId="0" fontId="13" fillId="5" borderId="11" xfId="4" applyFont="1" applyFill="1" applyBorder="1" applyAlignment="1" applyProtection="1">
      <alignment horizontal="center" vertical="center" wrapText="1"/>
      <protection hidden="1"/>
    </xf>
    <xf numFmtId="0" fontId="10" fillId="0" borderId="35" xfId="4" applyFont="1" applyBorder="1" applyAlignment="1" applyProtection="1">
      <alignment horizontal="left" vertical="center" wrapText="1"/>
      <protection hidden="1"/>
    </xf>
    <xf numFmtId="0" fontId="15" fillId="6" borderId="36" xfId="4" applyFont="1" applyFill="1" applyBorder="1" applyAlignment="1" applyProtection="1">
      <alignment horizontal="left" vertical="center" wrapText="1"/>
      <protection hidden="1"/>
    </xf>
    <xf numFmtId="0" fontId="15" fillId="6" borderId="35" xfId="4" applyFont="1" applyFill="1" applyBorder="1" applyAlignment="1" applyProtection="1">
      <alignment horizontal="left" vertical="center" wrapText="1"/>
      <protection hidden="1"/>
    </xf>
    <xf numFmtId="0" fontId="10" fillId="6" borderId="79" xfId="4" applyFont="1" applyFill="1" applyBorder="1" applyAlignment="1" applyProtection="1">
      <alignment horizontal="center" vertical="center" wrapText="1"/>
      <protection hidden="1"/>
    </xf>
    <xf numFmtId="0" fontId="10" fillId="6" borderId="0" xfId="4" applyFont="1" applyFill="1" applyAlignment="1" applyProtection="1">
      <alignment horizontal="center" vertical="center" wrapText="1"/>
      <protection hidden="1"/>
    </xf>
    <xf numFmtId="0" fontId="10" fillId="6" borderId="0" xfId="4" applyFont="1" applyFill="1" applyAlignment="1" applyProtection="1">
      <alignment horizontal="center" vertical="center"/>
      <protection hidden="1"/>
    </xf>
    <xf numFmtId="0" fontId="10" fillId="6" borderId="32" xfId="4" applyFont="1" applyFill="1" applyBorder="1" applyAlignment="1" applyProtection="1">
      <alignment horizontal="center" vertical="center" wrapText="1"/>
      <protection hidden="1"/>
    </xf>
    <xf numFmtId="0" fontId="21" fillId="0" borderId="14" xfId="4" applyFont="1" applyBorder="1" applyAlignment="1" applyProtection="1">
      <alignment horizontal="center" vertical="center" textRotation="90" wrapText="1"/>
      <protection hidden="1"/>
    </xf>
    <xf numFmtId="0" fontId="21" fillId="0" borderId="18" xfId="4" applyFont="1" applyBorder="1" applyAlignment="1" applyProtection="1">
      <alignment horizontal="center" vertical="center" textRotation="90" wrapText="1"/>
      <protection hidden="1"/>
    </xf>
    <xf numFmtId="0" fontId="21" fillId="0" borderId="0" xfId="4" applyFont="1" applyAlignment="1" applyProtection="1">
      <alignment horizontal="center" vertical="center" textRotation="90" wrapText="1"/>
      <protection hidden="1"/>
    </xf>
    <xf numFmtId="0" fontId="15" fillId="0" borderId="0" xfId="4" applyFont="1" applyAlignment="1" applyProtection="1">
      <alignment vertical="center"/>
      <protection hidden="1"/>
    </xf>
    <xf numFmtId="0" fontId="15" fillId="0" borderId="0" xfId="4" applyFont="1" applyAlignment="1" applyProtection="1">
      <alignment horizontal="left" vertical="center"/>
      <protection hidden="1"/>
    </xf>
    <xf numFmtId="0" fontId="15" fillId="0" borderId="18" xfId="4" applyFont="1" applyBorder="1" applyAlignment="1" applyProtection="1">
      <alignment horizontal="left" vertical="center"/>
      <protection hidden="1"/>
    </xf>
    <xf numFmtId="0" fontId="15" fillId="0" borderId="29" xfId="4" applyFont="1" applyBorder="1" applyAlignment="1" applyProtection="1">
      <alignment horizontal="center" vertical="center"/>
      <protection hidden="1"/>
    </xf>
    <xf numFmtId="0" fontId="15" fillId="0" borderId="30" xfId="4" applyFont="1" applyBorder="1" applyAlignment="1" applyProtection="1">
      <alignment horizontal="center" vertical="center"/>
      <protection hidden="1"/>
    </xf>
    <xf numFmtId="0" fontId="10" fillId="4" borderId="32" xfId="4" applyFont="1" applyFill="1" applyBorder="1" applyAlignment="1" applyProtection="1">
      <alignment horizontal="left" vertical="center"/>
      <protection hidden="1"/>
    </xf>
    <xf numFmtId="0" fontId="10" fillId="4" borderId="33" xfId="4" applyFont="1" applyFill="1" applyBorder="1" applyAlignment="1" applyProtection="1">
      <alignment horizontal="left" vertical="center" wrapText="1"/>
      <protection hidden="1"/>
    </xf>
    <xf numFmtId="0" fontId="10" fillId="4" borderId="32" xfId="4" applyFont="1" applyFill="1" applyBorder="1" applyAlignment="1" applyProtection="1">
      <alignment horizontal="left" vertical="center" wrapText="1"/>
      <protection hidden="1"/>
    </xf>
    <xf numFmtId="0" fontId="10" fillId="4" borderId="34" xfId="4" applyFont="1" applyFill="1" applyBorder="1" applyAlignment="1" applyProtection="1">
      <alignment horizontal="left" vertical="center" wrapText="1"/>
      <protection hidden="1"/>
    </xf>
    <xf numFmtId="0" fontId="10" fillId="0" borderId="78" xfId="4" applyFont="1" applyBorder="1" applyAlignment="1" applyProtection="1">
      <alignment horizontal="center" vertical="center"/>
      <protection hidden="1"/>
    </xf>
    <xf numFmtId="0" fontId="10" fillId="0" borderId="30" xfId="4" applyFont="1" applyBorder="1" applyAlignment="1" applyProtection="1">
      <alignment horizontal="center" vertical="center"/>
      <protection hidden="1"/>
    </xf>
    <xf numFmtId="0" fontId="10" fillId="0" borderId="31" xfId="4" applyFont="1" applyBorder="1" applyAlignment="1" applyProtection="1">
      <alignment horizontal="center" vertical="center"/>
      <protection hidden="1"/>
    </xf>
    <xf numFmtId="0" fontId="15" fillId="0" borderId="2" xfId="4" applyFont="1" applyBorder="1" applyAlignment="1" applyProtection="1">
      <alignment horizontal="center" vertical="center" textRotation="90" wrapText="1"/>
      <protection hidden="1"/>
    </xf>
    <xf numFmtId="0" fontId="10" fillId="0" borderId="43" xfId="4" applyFont="1" applyBorder="1" applyAlignment="1" applyProtection="1">
      <alignment horizontal="left" vertical="center"/>
      <protection hidden="1"/>
    </xf>
    <xf numFmtId="0" fontId="10" fillId="0" borderId="44" xfId="4" applyFont="1" applyBorder="1" applyAlignment="1" applyProtection="1">
      <alignment vertical="center"/>
      <protection hidden="1"/>
    </xf>
    <xf numFmtId="3" fontId="10" fillId="0" borderId="44" xfId="4" applyNumberFormat="1" applyFont="1" applyBorder="1" applyAlignment="1" applyProtection="1">
      <alignment horizontal="right" vertical="center"/>
      <protection hidden="1"/>
    </xf>
    <xf numFmtId="0" fontId="10" fillId="0" borderId="45" xfId="4" applyFont="1" applyBorder="1" applyAlignment="1" applyProtection="1">
      <alignment vertical="center"/>
      <protection hidden="1"/>
    </xf>
    <xf numFmtId="0" fontId="10" fillId="4" borderId="25" xfId="4" applyFont="1" applyFill="1" applyBorder="1" applyAlignment="1" applyProtection="1">
      <alignment horizontal="left" vertical="center"/>
      <protection hidden="1"/>
    </xf>
    <xf numFmtId="0" fontId="10" fillId="4" borderId="39" xfId="4" applyFont="1" applyFill="1" applyBorder="1" applyAlignment="1" applyProtection="1">
      <alignment vertical="center"/>
      <protection hidden="1"/>
    </xf>
    <xf numFmtId="0" fontId="10" fillId="4" borderId="55" xfId="4" applyFont="1" applyFill="1" applyBorder="1" applyAlignment="1" applyProtection="1">
      <alignment horizontal="left" vertical="center" wrapText="1"/>
      <protection hidden="1"/>
    </xf>
    <xf numFmtId="0" fontId="10" fillId="4" borderId="44" xfId="4" applyFont="1" applyFill="1" applyBorder="1" applyAlignment="1" applyProtection="1">
      <alignment vertical="center" wrapText="1"/>
      <protection hidden="1"/>
    </xf>
    <xf numFmtId="3" fontId="10" fillId="4" borderId="44" xfId="4" applyNumberFormat="1" applyFont="1" applyFill="1" applyBorder="1" applyAlignment="1" applyProtection="1">
      <alignment horizontal="right" vertical="center"/>
      <protection hidden="1"/>
    </xf>
    <xf numFmtId="0" fontId="10" fillId="4" borderId="44" xfId="4" applyFont="1" applyFill="1" applyBorder="1" applyAlignment="1" applyProtection="1">
      <alignment vertical="center"/>
      <protection hidden="1"/>
    </xf>
    <xf numFmtId="0" fontId="10" fillId="4" borderId="45" xfId="4" applyFont="1" applyFill="1" applyBorder="1" applyAlignment="1" applyProtection="1">
      <alignment vertical="center"/>
      <protection hidden="1"/>
    </xf>
    <xf numFmtId="0" fontId="10" fillId="0" borderId="39" xfId="4" applyFont="1" applyBorder="1" applyAlignment="1" applyProtection="1">
      <alignment vertical="center"/>
      <protection hidden="1"/>
    </xf>
    <xf numFmtId="0" fontId="10" fillId="9" borderId="46" xfId="4" applyFont="1" applyFill="1" applyBorder="1" applyAlignment="1" applyProtection="1">
      <alignment horizontal="left" vertical="center" wrapText="1"/>
      <protection hidden="1"/>
    </xf>
    <xf numFmtId="0" fontId="10" fillId="9" borderId="26" xfId="4" applyFont="1" applyFill="1" applyBorder="1" applyAlignment="1" applyProtection="1">
      <alignment horizontal="left" vertical="center" wrapText="1"/>
      <protection hidden="1"/>
    </xf>
    <xf numFmtId="3" fontId="10" fillId="9" borderId="25" xfId="4" applyNumberFormat="1" applyFont="1" applyFill="1" applyBorder="1" applyAlignment="1" applyProtection="1">
      <alignment horizontal="right" vertical="center"/>
      <protection hidden="1"/>
    </xf>
    <xf numFmtId="0" fontId="10" fillId="9" borderId="26" xfId="4" applyFont="1" applyFill="1" applyBorder="1" applyAlignment="1" applyProtection="1">
      <alignment vertical="center"/>
      <protection hidden="1"/>
    </xf>
    <xf numFmtId="0" fontId="10" fillId="9" borderId="42" xfId="4" applyFont="1" applyFill="1" applyBorder="1" applyAlignment="1" applyProtection="1">
      <alignment vertical="center"/>
      <protection hidden="1"/>
    </xf>
    <xf numFmtId="0" fontId="15" fillId="4" borderId="50" xfId="4" applyFont="1" applyFill="1" applyBorder="1" applyAlignment="1" applyProtection="1">
      <alignment horizontal="left" vertical="center" wrapText="1"/>
      <protection hidden="1"/>
    </xf>
    <xf numFmtId="0" fontId="15" fillId="4" borderId="51" xfId="4" applyFont="1" applyFill="1" applyBorder="1" applyAlignment="1" applyProtection="1">
      <alignment horizontal="left" vertical="center" wrapText="1"/>
      <protection hidden="1"/>
    </xf>
    <xf numFmtId="3" fontId="15" fillId="4" borderId="51" xfId="4" applyNumberFormat="1" applyFont="1" applyFill="1" applyBorder="1" applyAlignment="1" applyProtection="1">
      <alignment horizontal="right" vertical="center"/>
      <protection hidden="1"/>
    </xf>
    <xf numFmtId="0" fontId="15" fillId="4" borderId="51" xfId="4" applyFont="1" applyFill="1" applyBorder="1" applyAlignment="1" applyProtection="1">
      <alignment vertical="center"/>
      <protection hidden="1"/>
    </xf>
    <xf numFmtId="0" fontId="15" fillId="4" borderId="52" xfId="4" applyFont="1" applyFill="1" applyBorder="1" applyAlignment="1" applyProtection="1">
      <alignment vertical="center"/>
      <protection hidden="1"/>
    </xf>
    <xf numFmtId="3" fontId="10" fillId="9" borderId="26" xfId="4" applyNumberFormat="1" applyFont="1" applyFill="1" applyBorder="1" applyAlignment="1" applyProtection="1">
      <alignment horizontal="right" vertical="center"/>
      <protection hidden="1"/>
    </xf>
    <xf numFmtId="0" fontId="15" fillId="4" borderId="19" xfId="4" applyFont="1" applyFill="1" applyBorder="1" applyAlignment="1" applyProtection="1">
      <alignment horizontal="left" vertical="center" wrapText="1"/>
      <protection hidden="1"/>
    </xf>
    <xf numFmtId="0" fontId="15" fillId="4" borderId="20" xfId="4" applyFont="1" applyFill="1" applyBorder="1" applyAlignment="1" applyProtection="1">
      <alignment horizontal="left" vertical="center" wrapText="1"/>
      <protection hidden="1"/>
    </xf>
    <xf numFmtId="0" fontId="15" fillId="4" borderId="56" xfId="4" applyFont="1" applyFill="1" applyBorder="1" applyAlignment="1" applyProtection="1">
      <alignment horizontal="left" vertical="center" wrapText="1"/>
      <protection hidden="1"/>
    </xf>
    <xf numFmtId="3" fontId="15" fillId="4" borderId="57" xfId="4" applyNumberFormat="1" applyFont="1" applyFill="1" applyBorder="1" applyAlignment="1" applyProtection="1">
      <alignment horizontal="right" vertical="center"/>
      <protection hidden="1"/>
    </xf>
    <xf numFmtId="3" fontId="15" fillId="4" borderId="20" xfId="4" applyNumberFormat="1" applyFont="1" applyFill="1" applyBorder="1" applyAlignment="1" applyProtection="1">
      <alignment horizontal="right" vertical="center"/>
      <protection hidden="1"/>
    </xf>
    <xf numFmtId="3" fontId="15" fillId="4" borderId="21" xfId="4" applyNumberFormat="1" applyFont="1" applyFill="1" applyBorder="1" applyAlignment="1" applyProtection="1">
      <alignment horizontal="right" vertical="center"/>
      <protection hidden="1"/>
    </xf>
    <xf numFmtId="3" fontId="10" fillId="0" borderId="57" xfId="4" applyNumberFormat="1" applyFont="1" applyBorder="1" applyAlignment="1" applyProtection="1">
      <alignment horizontal="right" vertical="center"/>
      <protection hidden="1"/>
    </xf>
    <xf numFmtId="3" fontId="10" fillId="0" borderId="20" xfId="4" applyNumberFormat="1" applyFont="1" applyBorder="1" applyAlignment="1" applyProtection="1">
      <alignment horizontal="right" vertical="center"/>
      <protection hidden="1"/>
    </xf>
    <xf numFmtId="3" fontId="10" fillId="0" borderId="21" xfId="4" applyNumberFormat="1" applyFont="1" applyBorder="1" applyAlignment="1" applyProtection="1">
      <alignment horizontal="right" vertical="center"/>
      <protection hidden="1"/>
    </xf>
    <xf numFmtId="0" fontId="10" fillId="0" borderId="6" xfId="4" applyFont="1" applyBorder="1" applyAlignment="1" applyProtection="1">
      <alignment horizontal="left" vertical="center"/>
      <protection hidden="1"/>
    </xf>
    <xf numFmtId="0" fontId="10" fillId="0" borderId="7" xfId="4" applyFont="1" applyBorder="1" applyAlignment="1" applyProtection="1">
      <alignment horizontal="left" vertical="center"/>
      <protection hidden="1"/>
    </xf>
    <xf numFmtId="0" fontId="10" fillId="0" borderId="55" xfId="4" applyFont="1" applyBorder="1" applyAlignment="1" applyProtection="1">
      <alignment horizontal="left" vertical="center"/>
      <protection hidden="1"/>
    </xf>
    <xf numFmtId="3" fontId="10" fillId="0" borderId="61" xfId="4" applyNumberFormat="1" applyFont="1" applyBorder="1" applyAlignment="1" applyProtection="1">
      <alignment horizontal="right" vertical="center"/>
      <protection hidden="1"/>
    </xf>
    <xf numFmtId="3" fontId="10" fillId="0" borderId="7" xfId="4" applyNumberFormat="1" applyFont="1" applyBorder="1" applyAlignment="1" applyProtection="1">
      <alignment horizontal="right" vertical="center"/>
      <protection hidden="1"/>
    </xf>
    <xf numFmtId="3" fontId="10" fillId="0" borderId="11" xfId="4" applyNumberFormat="1" applyFont="1" applyBorder="1" applyAlignment="1" applyProtection="1">
      <alignment horizontal="right" vertical="center"/>
      <protection hidden="1"/>
    </xf>
    <xf numFmtId="0" fontId="15" fillId="0" borderId="19" xfId="4" applyFont="1" applyBorder="1" applyAlignment="1" applyProtection="1">
      <alignment horizontal="left" vertical="center" wrapText="1"/>
      <protection hidden="1"/>
    </xf>
    <xf numFmtId="0" fontId="15" fillId="0" borderId="20" xfId="4" applyFont="1" applyBorder="1" applyAlignment="1" applyProtection="1">
      <alignment horizontal="left" vertical="center" wrapText="1"/>
      <protection hidden="1"/>
    </xf>
    <xf numFmtId="0" fontId="15" fillId="0" borderId="56" xfId="4" applyFont="1" applyBorder="1" applyAlignment="1" applyProtection="1">
      <alignment horizontal="left" vertical="center" wrapText="1"/>
      <protection hidden="1"/>
    </xf>
    <xf numFmtId="0" fontId="15" fillId="0" borderId="60" xfId="4" applyFont="1" applyBorder="1" applyAlignment="1" applyProtection="1">
      <alignment horizontal="center" vertical="center" textRotation="90" wrapText="1"/>
      <protection hidden="1"/>
    </xf>
    <xf numFmtId="0" fontId="15" fillId="0" borderId="62" xfId="4" applyFont="1" applyBorder="1" applyAlignment="1" applyProtection="1">
      <alignment horizontal="center" vertical="center" textRotation="90" wrapText="1"/>
      <protection hidden="1"/>
    </xf>
    <xf numFmtId="0" fontId="15" fillId="0" borderId="63" xfId="4" applyFont="1" applyBorder="1" applyAlignment="1" applyProtection="1">
      <alignment horizontal="center" vertical="center" textRotation="90" wrapText="1"/>
      <protection hidden="1"/>
    </xf>
    <xf numFmtId="0" fontId="15" fillId="0" borderId="66" xfId="4" applyFont="1" applyBorder="1" applyAlignment="1" applyProtection="1">
      <alignment horizontal="center" vertical="center" textRotation="90" wrapText="1"/>
      <protection hidden="1"/>
    </xf>
    <xf numFmtId="0" fontId="15" fillId="0" borderId="67" xfId="4" applyFont="1" applyBorder="1" applyAlignment="1" applyProtection="1">
      <alignment horizontal="center" vertical="center" textRotation="90" wrapText="1"/>
      <protection hidden="1"/>
    </xf>
    <xf numFmtId="0" fontId="15" fillId="0" borderId="68" xfId="4" applyFont="1" applyBorder="1" applyAlignment="1" applyProtection="1">
      <alignment horizontal="center" vertical="center" textRotation="90" wrapText="1"/>
      <protection hidden="1"/>
    </xf>
    <xf numFmtId="3" fontId="15" fillId="0" borderId="51" xfId="4" applyNumberFormat="1" applyFont="1" applyBorder="1" applyAlignment="1" applyProtection="1">
      <alignment horizontal="right" vertical="center"/>
      <protection hidden="1"/>
    </xf>
    <xf numFmtId="0" fontId="15" fillId="0" borderId="51" xfId="4" applyFont="1" applyBorder="1" applyAlignment="1" applyProtection="1">
      <alignment vertical="center"/>
      <protection hidden="1"/>
    </xf>
    <xf numFmtId="0" fontId="15" fillId="0" borderId="52" xfId="4" applyFont="1" applyBorder="1" applyAlignment="1" applyProtection="1">
      <alignment vertical="center"/>
      <protection hidden="1"/>
    </xf>
    <xf numFmtId="0" fontId="15" fillId="4" borderId="64" xfId="4" applyFont="1" applyFill="1" applyBorder="1" applyAlignment="1" applyProtection="1">
      <alignment horizontal="left" vertical="center" wrapText="1"/>
      <protection hidden="1"/>
    </xf>
    <xf numFmtId="3" fontId="15" fillId="4" borderId="65" xfId="4" applyNumberFormat="1" applyFont="1" applyFill="1" applyBorder="1" applyAlignment="1" applyProtection="1">
      <alignment horizontal="right" vertical="center"/>
      <protection hidden="1"/>
    </xf>
    <xf numFmtId="0" fontId="10" fillId="0" borderId="46" xfId="4" applyFont="1" applyBorder="1" applyAlignment="1" applyProtection="1">
      <alignment horizontal="left" vertical="center"/>
      <protection hidden="1"/>
    </xf>
    <xf numFmtId="0" fontId="1" fillId="4" borderId="20" xfId="0" applyFont="1" applyFill="1" applyBorder="1" applyProtection="1">
      <protection hidden="1"/>
    </xf>
    <xf numFmtId="3" fontId="1" fillId="4" borderId="75" xfId="0" applyNumberFormat="1" applyFont="1" applyFill="1" applyBorder="1" applyProtection="1">
      <protection hidden="1"/>
    </xf>
    <xf numFmtId="0" fontId="1" fillId="4" borderId="21" xfId="0" applyFont="1" applyFill="1" applyBorder="1" applyProtection="1">
      <protection hidden="1"/>
    </xf>
    <xf numFmtId="3" fontId="10" fillId="0" borderId="51" xfId="4" applyNumberFormat="1" applyFont="1" applyBorder="1" applyAlignment="1" applyProtection="1">
      <alignment horizontal="right" vertical="center"/>
      <protection hidden="1"/>
    </xf>
    <xf numFmtId="0" fontId="10" fillId="0" borderId="51" xfId="4" applyFont="1" applyBorder="1" applyAlignment="1" applyProtection="1">
      <alignment vertical="center"/>
      <protection hidden="1"/>
    </xf>
    <xf numFmtId="0" fontId="10" fillId="0" borderId="52" xfId="4" applyFont="1" applyBorder="1" applyAlignment="1" applyProtection="1">
      <alignment vertical="center"/>
      <protection hidden="1"/>
    </xf>
    <xf numFmtId="0" fontId="1" fillId="0" borderId="0" xfId="0" applyFont="1" applyProtection="1">
      <protection hidden="1"/>
    </xf>
    <xf numFmtId="3" fontId="1" fillId="0" borderId="0" xfId="0" applyNumberFormat="1" applyFont="1" applyProtection="1">
      <protection hidden="1"/>
    </xf>
    <xf numFmtId="0" fontId="1" fillId="0" borderId="18" xfId="0" applyFont="1" applyBorder="1" applyProtection="1">
      <protection hidden="1"/>
    </xf>
    <xf numFmtId="0" fontId="0" fillId="4" borderId="0" xfId="0" applyFill="1" applyAlignment="1" applyProtection="1">
      <alignment wrapText="1"/>
      <protection hidden="1"/>
    </xf>
    <xf numFmtId="3" fontId="0" fillId="4" borderId="0" xfId="0" applyNumberFormat="1" applyFill="1" applyProtection="1">
      <protection hidden="1"/>
    </xf>
    <xf numFmtId="0" fontId="0" fillId="4" borderId="0" xfId="0" applyFill="1" applyProtection="1">
      <protection hidden="1"/>
    </xf>
    <xf numFmtId="0" fontId="0" fillId="4" borderId="18" xfId="0" applyFill="1" applyBorder="1" applyProtection="1">
      <protection hidden="1"/>
    </xf>
    <xf numFmtId="0" fontId="10" fillId="4" borderId="0" xfId="4" applyFont="1" applyFill="1" applyAlignment="1" applyProtection="1">
      <alignment horizontal="center" vertical="center"/>
      <protection hidden="1"/>
    </xf>
    <xf numFmtId="0" fontId="10" fillId="4" borderId="18" xfId="4" applyFont="1" applyFill="1" applyBorder="1" applyAlignment="1" applyProtection="1">
      <alignment horizontal="center" vertical="center"/>
      <protection hidden="1"/>
    </xf>
    <xf numFmtId="0" fontId="15" fillId="4" borderId="0" xfId="4" applyFont="1" applyFill="1" applyAlignment="1" applyProtection="1">
      <alignment horizontal="center" vertical="center" wrapText="1"/>
      <protection hidden="1"/>
    </xf>
    <xf numFmtId="3" fontId="15" fillId="0" borderId="6" xfId="4" applyNumberFormat="1" applyFont="1" applyBorder="1" applyAlignment="1" applyProtection="1">
      <alignment horizontal="right" vertical="center"/>
      <protection hidden="1"/>
    </xf>
    <xf numFmtId="0" fontId="15" fillId="0" borderId="7" xfId="4" applyFont="1" applyBorder="1" applyAlignment="1" applyProtection="1">
      <alignment horizontal="right" vertical="center"/>
      <protection hidden="1"/>
    </xf>
    <xf numFmtId="0" fontId="15" fillId="0" borderId="11" xfId="4" applyFont="1" applyBorder="1" applyAlignment="1" applyProtection="1">
      <alignment horizontal="right" vertical="center"/>
      <protection hidden="1"/>
    </xf>
    <xf numFmtId="0" fontId="15" fillId="0" borderId="19" xfId="4" applyFont="1" applyBorder="1" applyAlignment="1" applyProtection="1">
      <alignment horizontal="right" vertical="center"/>
      <protection hidden="1"/>
    </xf>
    <xf numFmtId="0" fontId="15" fillId="0" borderId="20" xfId="4" applyFont="1" applyBorder="1" applyAlignment="1" applyProtection="1">
      <alignment horizontal="right" vertical="center"/>
      <protection hidden="1"/>
    </xf>
    <xf numFmtId="0" fontId="15" fillId="0" borderId="21" xfId="4" applyFont="1" applyBorder="1" applyAlignment="1" applyProtection="1">
      <alignment horizontal="right" vertical="center"/>
      <protection hidden="1"/>
    </xf>
    <xf numFmtId="0" fontId="15" fillId="0" borderId="6" xfId="4" applyFont="1" applyBorder="1" applyAlignment="1" applyProtection="1">
      <alignment horizontal="center" vertical="center" wrapText="1"/>
      <protection hidden="1"/>
    </xf>
    <xf numFmtId="0" fontId="15" fillId="0" borderId="7" xfId="4" applyFont="1" applyBorder="1" applyAlignment="1" applyProtection="1">
      <alignment horizontal="center" vertical="center" wrapText="1"/>
      <protection hidden="1"/>
    </xf>
    <xf numFmtId="0" fontId="15" fillId="0" borderId="11" xfId="4" applyFont="1" applyBorder="1" applyAlignment="1" applyProtection="1">
      <alignment horizontal="center" vertical="center" wrapText="1"/>
      <protection hidden="1"/>
    </xf>
    <xf numFmtId="0" fontId="15" fillId="0" borderId="14" xfId="4" applyFont="1" applyBorder="1" applyAlignment="1" applyProtection="1">
      <alignment horizontal="center" vertical="center" wrapText="1"/>
      <protection hidden="1"/>
    </xf>
    <xf numFmtId="0" fontId="15" fillId="0" borderId="0" xfId="4" applyFont="1" applyAlignment="1" applyProtection="1">
      <alignment horizontal="center" vertical="center" wrapText="1"/>
      <protection hidden="1"/>
    </xf>
    <xf numFmtId="0" fontId="15" fillId="0" borderId="18" xfId="4" applyFont="1" applyBorder="1" applyAlignment="1" applyProtection="1">
      <alignment horizontal="center" vertical="center" wrapText="1"/>
      <protection hidden="1"/>
    </xf>
    <xf numFmtId="0" fontId="15" fillId="0" borderId="19" xfId="4" applyFont="1" applyBorder="1" applyAlignment="1" applyProtection="1">
      <alignment horizontal="center" vertical="center" wrapText="1"/>
      <protection hidden="1"/>
    </xf>
    <xf numFmtId="0" fontId="15" fillId="0" borderId="20" xfId="4" applyFont="1" applyBorder="1" applyAlignment="1" applyProtection="1">
      <alignment horizontal="center" vertical="center" wrapText="1"/>
      <protection hidden="1"/>
    </xf>
    <xf numFmtId="0" fontId="15" fillId="0" borderId="21" xfId="4" applyFont="1" applyBorder="1" applyAlignment="1" applyProtection="1">
      <alignment horizontal="center" vertical="center" wrapText="1"/>
      <protection hidden="1"/>
    </xf>
    <xf numFmtId="0" fontId="10" fillId="6" borderId="20" xfId="4" applyFont="1" applyFill="1" applyBorder="1" applyAlignment="1" applyProtection="1">
      <alignment horizontal="center" vertical="center"/>
      <protection hidden="1"/>
    </xf>
    <xf numFmtId="0" fontId="25" fillId="0" borderId="0" xfId="0" applyFont="1" applyAlignment="1" applyProtection="1">
      <alignment horizontal="center"/>
      <protection hidden="1"/>
    </xf>
    <xf numFmtId="0" fontId="25" fillId="0" borderId="14" xfId="0" applyFont="1" applyBorder="1" applyAlignment="1" applyProtection="1">
      <alignment horizontal="center"/>
      <protection hidden="1"/>
    </xf>
    <xf numFmtId="0" fontId="15" fillId="4" borderId="46" xfId="4" applyFont="1" applyFill="1" applyBorder="1" applyAlignment="1" applyProtection="1">
      <alignment horizontal="left" vertical="center" wrapText="1"/>
      <protection hidden="1"/>
    </xf>
    <xf numFmtId="0" fontId="15" fillId="4" borderId="26" xfId="4" applyFont="1" applyFill="1" applyBorder="1" applyAlignment="1" applyProtection="1">
      <alignment horizontal="left" vertical="center" wrapText="1"/>
      <protection hidden="1"/>
    </xf>
    <xf numFmtId="0" fontId="10" fillId="4" borderId="6" xfId="4" applyFont="1" applyFill="1" applyBorder="1" applyAlignment="1" applyProtection="1">
      <alignment horizontal="left" vertical="center" wrapText="1"/>
      <protection hidden="1"/>
    </xf>
    <xf numFmtId="0" fontId="10" fillId="4" borderId="7" xfId="4" applyFont="1" applyFill="1" applyBorder="1" applyAlignment="1" applyProtection="1">
      <alignment horizontal="left" vertical="center" wrapText="1"/>
      <protection hidden="1"/>
    </xf>
    <xf numFmtId="0" fontId="10" fillId="4" borderId="66" xfId="4" applyFont="1" applyFill="1" applyBorder="1" applyAlignment="1" applyProtection="1">
      <alignment horizontal="left" vertical="center" wrapText="1"/>
      <protection hidden="1"/>
    </xf>
    <xf numFmtId="0" fontId="10" fillId="4" borderId="67" xfId="4" applyFont="1" applyFill="1" applyBorder="1" applyAlignment="1" applyProtection="1">
      <alignment horizontal="left" vertical="center" wrapText="1"/>
      <protection hidden="1"/>
    </xf>
    <xf numFmtId="0" fontId="10" fillId="4" borderId="68" xfId="4" applyFont="1" applyFill="1" applyBorder="1" applyAlignment="1" applyProtection="1">
      <alignment horizontal="left" vertical="center" wrapText="1"/>
      <protection hidden="1"/>
    </xf>
    <xf numFmtId="3" fontId="10" fillId="4" borderId="81" xfId="4" applyNumberFormat="1" applyFont="1" applyFill="1" applyBorder="1" applyAlignment="1" applyProtection="1">
      <alignment horizontal="right" vertical="center"/>
      <protection hidden="1"/>
    </xf>
    <xf numFmtId="3" fontId="10" fillId="4" borderId="67" xfId="4" applyNumberFormat="1" applyFont="1" applyFill="1" applyBorder="1" applyAlignment="1" applyProtection="1">
      <alignment horizontal="right" vertical="center"/>
      <protection hidden="1"/>
    </xf>
    <xf numFmtId="3" fontId="10" fillId="4" borderId="68" xfId="4" applyNumberFormat="1" applyFont="1" applyFill="1" applyBorder="1" applyAlignment="1" applyProtection="1">
      <alignment horizontal="right" vertical="center"/>
      <protection hidden="1"/>
    </xf>
    <xf numFmtId="0" fontId="26" fillId="0" borderId="1" xfId="0" applyFont="1" applyBorder="1" applyAlignment="1" applyProtection="1">
      <alignment horizontal="center" vertical="center"/>
      <protection locked="0"/>
    </xf>
    <xf numFmtId="0" fontId="27" fillId="0" borderId="85" xfId="0" applyFont="1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168" fontId="28" fillId="0" borderId="85" xfId="1" applyNumberFormat="1" applyFont="1" applyBorder="1" applyAlignment="1" applyProtection="1">
      <alignment horizontal="center" vertical="center"/>
      <protection locked="0"/>
    </xf>
    <xf numFmtId="168" fontId="28" fillId="0" borderId="5" xfId="1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17" borderId="0" xfId="0" applyFill="1" applyAlignment="1">
      <alignment horizontal="center"/>
    </xf>
    <xf numFmtId="0" fontId="5" fillId="17" borderId="0" xfId="0" applyFont="1" applyFill="1" applyAlignment="1" applyProtection="1">
      <alignment horizontal="center" vertical="center"/>
      <protection locked="0"/>
    </xf>
    <xf numFmtId="0" fontId="5" fillId="17" borderId="0" xfId="0" applyFont="1" applyFill="1" applyAlignment="1" applyProtection="1">
      <alignment horizontal="center"/>
      <protection locked="0"/>
    </xf>
    <xf numFmtId="0" fontId="5" fillId="0" borderId="40" xfId="0" applyFont="1" applyBorder="1" applyAlignment="1" applyProtection="1">
      <alignment horizontal="center" vertical="center"/>
      <protection locked="0"/>
    </xf>
    <xf numFmtId="0" fontId="5" fillId="0" borderId="82" xfId="0" applyFont="1" applyBorder="1" applyAlignment="1" applyProtection="1">
      <alignment horizontal="center" vertical="center"/>
      <protection locked="0"/>
    </xf>
    <xf numFmtId="0" fontId="5" fillId="0" borderId="41" xfId="0" applyFont="1" applyBorder="1" applyAlignment="1" applyProtection="1">
      <alignment horizontal="center" vertical="center"/>
      <protection locked="0"/>
    </xf>
    <xf numFmtId="0" fontId="5" fillId="0" borderId="37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0" borderId="38" xfId="0" applyFont="1" applyBorder="1" applyAlignment="1" applyProtection="1">
      <alignment horizontal="center" vertical="center"/>
      <protection locked="0"/>
    </xf>
    <xf numFmtId="0" fontId="5" fillId="0" borderId="48" xfId="0" applyFont="1" applyBorder="1" applyAlignment="1" applyProtection="1">
      <alignment horizontal="center" vertical="center"/>
      <protection locked="0"/>
    </xf>
    <xf numFmtId="0" fontId="5" fillId="0" borderId="83" xfId="0" applyFont="1" applyBorder="1" applyAlignment="1" applyProtection="1">
      <alignment horizontal="center" vertical="center"/>
      <protection locked="0"/>
    </xf>
    <xf numFmtId="0" fontId="5" fillId="0" borderId="49" xfId="0" applyFont="1" applyBorder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/>
    </xf>
  </cellXfs>
  <cellStyles count="7">
    <cellStyle name="Millares" xfId="1" builtinId="3"/>
    <cellStyle name="Millares [0]" xfId="3" builtinId="6"/>
    <cellStyle name="Normal" xfId="0" builtinId="0"/>
    <cellStyle name="Normal 2" xfId="6" xr:uid="{D457470C-F10D-4C9D-9139-A90901A8D792}"/>
    <cellStyle name="Normal_Formulario DIAN 110 Año Gravable 2011" xfId="5" xr:uid="{19E62B4E-71C4-4BB4-81ED-F430D25E2554}"/>
    <cellStyle name="Normal_Hoja1" xfId="4" xr:uid="{7D902384-70DF-4D5C-806D-BE59FE256634}"/>
    <cellStyle name="Porcentaje" xfId="2" builtinId="5"/>
  </cellStyles>
  <dxfs count="10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6666"/>
      <color rgb="FF63979D"/>
      <color rgb="FF009999"/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Motor!$G$6" lockText="1" noThreeD="1"/>
</file>

<file path=xl/ctrlProps/ctrlProp2.xml><?xml version="1.0" encoding="utf-8"?>
<formControlPr xmlns="http://schemas.microsoft.com/office/spreadsheetml/2009/9/main" objectType="CheckBox" fmlaLink="Motor!$G$7" lockText="1" noThreeD="1"/>
</file>

<file path=xl/ctrlProps/ctrlProp3.xml><?xml version="1.0" encoding="utf-8"?>
<formControlPr xmlns="http://schemas.microsoft.com/office/spreadsheetml/2009/9/main" objectType="CheckBox" fmlaLink="Motor!$G$8" lockText="1" noThreeD="1"/>
</file>

<file path=xl/ctrlProps/ctrlProp4.xml><?xml version="1.0" encoding="utf-8"?>
<formControlPr xmlns="http://schemas.microsoft.com/office/spreadsheetml/2009/9/main" objectType="CheckBox" fmlaLink="Motor!$G$10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fmlaLink="Motor!$G$2" lockText="1" noThreeD="1"/>
</file>

<file path=xl/ctrlProps/ctrlProp9.xml><?xml version="1.0" encoding="utf-8"?>
<formControlPr xmlns="http://schemas.microsoft.com/office/spreadsheetml/2009/9/main" objectType="CheckBox" fmlaLink="Motor!$L$38" lockText="1" noThreeD="1"/>
</file>

<file path=xl/ctrlProps/ctrlProp10.xml><?xml version="1.0" encoding="utf-8"?>
<formControlPr xmlns="http://schemas.microsoft.com/office/spreadsheetml/2009/9/main" objectType="CheckBox" fmlaLink="Motor!$L$39" lockText="1" noThreeD="1"/>
</file>

<file path=xl/ctrlProps/ctrlProp11.xml><?xml version="1.0" encoding="utf-8"?>
<formControlPr xmlns="http://schemas.microsoft.com/office/spreadsheetml/2009/9/main" objectType="CheckBox" fmlaLink="Motor!$L$40" lockText="1" noThreeD="1"/>
</file>

<file path=xl/ctrlProps/ctrlProp12.xml><?xml version="1.0" encoding="utf-8"?>
<formControlPr xmlns="http://schemas.microsoft.com/office/spreadsheetml/2009/9/main" objectType="CheckBox" fmlaLink="Motor!$L$41" lockText="1" noThreeD="1"/>
</file>

<file path=xl/ctrlProps/ctrlProp13.xml><?xml version="1.0" encoding="utf-8"?>
<formControlPr xmlns="http://schemas.microsoft.com/office/spreadsheetml/2009/9/main" objectType="CheckBox" fmlaLink="Motor!$L$37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5.jpe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gif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744140</xdr:colOff>
      <xdr:row>0</xdr:row>
      <xdr:rowOff>114300</xdr:rowOff>
    </xdr:from>
    <xdr:to>
      <xdr:col>11</xdr:col>
      <xdr:colOff>0</xdr:colOff>
      <xdr:row>7</xdr:row>
      <xdr:rowOff>22860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93094" y="114300"/>
          <a:ext cx="10001250" cy="1182529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440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CEDULA</a:t>
          </a:r>
          <a:r>
            <a:rPr lang="es-ES" sz="4400" baseline="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 </a:t>
          </a:r>
          <a:r>
            <a:rPr lang="es-ES" sz="440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GENERAL</a:t>
          </a:r>
        </a:p>
        <a:p>
          <a:pPr algn="ctr"/>
          <a:endParaRPr lang="es-ES" sz="4400">
            <a:solidFill>
              <a:schemeClr val="accent6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7</xdr:row>
          <xdr:rowOff>57150</xdr:rowOff>
        </xdr:from>
        <xdr:to>
          <xdr:col>13</xdr:col>
          <xdr:colOff>585788</xdr:colOff>
          <xdr:row>8</xdr:row>
          <xdr:rowOff>119063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DEPENDIENTES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42863</xdr:colOff>
          <xdr:row>14</xdr:row>
          <xdr:rowOff>171450</xdr:rowOff>
        </xdr:from>
        <xdr:to>
          <xdr:col>13</xdr:col>
          <xdr:colOff>571500</xdr:colOff>
          <xdr:row>16</xdr:row>
          <xdr:rowOff>57150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INTERESES HIPOTECARIOS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17</xdr:row>
          <xdr:rowOff>119063</xdr:rowOff>
        </xdr:from>
        <xdr:to>
          <xdr:col>13</xdr:col>
          <xdr:colOff>762000</xdr:colOff>
          <xdr:row>19</xdr:row>
          <xdr:rowOff>14288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MEDICINA PREPAGADA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42863</xdr:colOff>
          <xdr:row>20</xdr:row>
          <xdr:rowOff>133350</xdr:rowOff>
        </xdr:from>
        <xdr:to>
          <xdr:col>13</xdr:col>
          <xdr:colOff>571500</xdr:colOff>
          <xdr:row>22</xdr:row>
          <xdr:rowOff>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GMF</a:t>
              </a:r>
            </a:p>
          </xdr:txBody>
        </xdr:sp>
        <xdr:clientData/>
      </xdr:twoCellAnchor>
    </mc:Choice>
    <mc:Fallback/>
  </mc:AlternateContent>
  <xdr:twoCellAnchor editAs="oneCell">
    <xdr:from>
      <xdr:col>4</xdr:col>
      <xdr:colOff>1166812</xdr:colOff>
      <xdr:row>46</xdr:row>
      <xdr:rowOff>84058</xdr:rowOff>
    </xdr:from>
    <xdr:to>
      <xdr:col>5</xdr:col>
      <xdr:colOff>1060018</xdr:colOff>
      <xdr:row>51</xdr:row>
      <xdr:rowOff>7639</xdr:rowOff>
    </xdr:to>
    <xdr:pic macro="[1]!btn_back_patrimonio"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3516" y="8352949"/>
          <a:ext cx="1238612" cy="816552"/>
        </a:xfrm>
        <a:prstGeom prst="rect">
          <a:avLst/>
        </a:prstGeom>
      </xdr:spPr>
    </xdr:pic>
    <xdr:clientData/>
  </xdr:twoCellAnchor>
  <xdr:twoCellAnchor editAs="oneCell">
    <xdr:from>
      <xdr:col>9</xdr:col>
      <xdr:colOff>161925</xdr:colOff>
      <xdr:row>46</xdr:row>
      <xdr:rowOff>88582</xdr:rowOff>
    </xdr:from>
    <xdr:to>
      <xdr:col>10</xdr:col>
      <xdr:colOff>200026</xdr:colOff>
      <xdr:row>50</xdr:row>
      <xdr:rowOff>163945</xdr:rowOff>
    </xdr:to>
    <xdr:pic macro="[1]!btn_pensiones">
      <xdr:nvPicPr>
        <xdr:cNvPr id="12" name="Imagen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04973" y="8357473"/>
          <a:ext cx="829866" cy="7897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33338</xdr:colOff>
          <xdr:row>28</xdr:row>
          <xdr:rowOff>71438</xdr:rowOff>
        </xdr:from>
        <xdr:to>
          <xdr:col>14</xdr:col>
          <xdr:colOff>733425</xdr:colOff>
          <xdr:row>29</xdr:row>
          <xdr:rowOff>147638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IMPUESTOS PAGADOS EN EL EXTERIOR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23813</xdr:colOff>
          <xdr:row>32</xdr:row>
          <xdr:rowOff>23813</xdr:rowOff>
        </xdr:from>
        <xdr:to>
          <xdr:col>13</xdr:col>
          <xdr:colOff>547688</xdr:colOff>
          <xdr:row>33</xdr:row>
          <xdr:rowOff>90488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DONACIONES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4763</xdr:colOff>
          <xdr:row>35</xdr:row>
          <xdr:rowOff>133350</xdr:rowOff>
        </xdr:from>
        <xdr:to>
          <xdr:col>13</xdr:col>
          <xdr:colOff>762000</xdr:colOff>
          <xdr:row>37</xdr:row>
          <xdr:rowOff>28575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OTROS DESCUENTOS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633413</xdr:colOff>
          <xdr:row>7</xdr:row>
          <xdr:rowOff>42863</xdr:rowOff>
        </xdr:from>
        <xdr:to>
          <xdr:col>16</xdr:col>
          <xdr:colOff>742950</xdr:colOff>
          <xdr:row>8</xdr:row>
          <xdr:rowOff>147638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HONORARIOS CON COSTOS PROCEDENTES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1137046</xdr:colOff>
      <xdr:row>52</xdr:row>
      <xdr:rowOff>47624</xdr:rowOff>
    </xdr:from>
    <xdr:to>
      <xdr:col>6</xdr:col>
      <xdr:colOff>53577</xdr:colOff>
      <xdr:row>53</xdr:row>
      <xdr:rowOff>172640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7143750" y="9388078"/>
          <a:ext cx="1690687" cy="34528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>
              <a:latin typeface="Georgia" panose="02040502050405020303" pitchFamily="18" charset="0"/>
            </a:rPr>
            <a:t>REGRESA</a:t>
          </a:r>
        </a:p>
      </xdr:txBody>
    </xdr:sp>
    <xdr:clientData/>
  </xdr:twoCellAnchor>
  <xdr:twoCellAnchor>
    <xdr:from>
      <xdr:col>8</xdr:col>
      <xdr:colOff>523876</xdr:colOff>
      <xdr:row>51</xdr:row>
      <xdr:rowOff>166687</xdr:rowOff>
    </xdr:from>
    <xdr:to>
      <xdr:col>10</xdr:col>
      <xdr:colOff>666750</xdr:colOff>
      <xdr:row>53</xdr:row>
      <xdr:rowOff>89297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0775157" y="9328547"/>
          <a:ext cx="1726406" cy="3214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>
              <a:latin typeface="Georgia" panose="02040502050405020303" pitchFamily="18" charset="0"/>
            </a:rPr>
            <a:t>PENSIONES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0</xdr:row>
      <xdr:rowOff>45720</xdr:rowOff>
    </xdr:from>
    <xdr:to>
      <xdr:col>6</xdr:col>
      <xdr:colOff>662940</xdr:colOff>
      <xdr:row>4</xdr:row>
      <xdr:rowOff>167640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6200" y="45720"/>
          <a:ext cx="6758940" cy="85344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280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DATOS DEL CONTRIBUYENTE</a:t>
          </a:r>
        </a:p>
        <a:p>
          <a:pPr algn="ctr"/>
          <a:endParaRPr lang="es-ES" sz="2800">
            <a:solidFill>
              <a:schemeClr val="accent6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>
    <xdr:from>
      <xdr:col>1</xdr:col>
      <xdr:colOff>76200</xdr:colOff>
      <xdr:row>0</xdr:row>
      <xdr:rowOff>45720</xdr:rowOff>
    </xdr:from>
    <xdr:to>
      <xdr:col>6</xdr:col>
      <xdr:colOff>662940</xdr:colOff>
      <xdr:row>4</xdr:row>
      <xdr:rowOff>167640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68680" y="45720"/>
          <a:ext cx="6758940" cy="85344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280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DATOS DEL CONTRIBUYENTE</a:t>
          </a:r>
        </a:p>
        <a:p>
          <a:pPr algn="ctr"/>
          <a:endParaRPr lang="es-ES" sz="2800">
            <a:solidFill>
              <a:schemeClr val="accent6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 editAs="oneCell">
    <xdr:from>
      <xdr:col>2</xdr:col>
      <xdr:colOff>681264</xdr:colOff>
      <xdr:row>25</xdr:row>
      <xdr:rowOff>152400</xdr:rowOff>
    </xdr:from>
    <xdr:to>
      <xdr:col>2</xdr:col>
      <xdr:colOff>1659196</xdr:colOff>
      <xdr:row>30</xdr:row>
      <xdr:rowOff>97229</xdr:rowOff>
    </xdr:to>
    <xdr:pic macro="[1]!btn_Informacion_exogena"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59514" y="4756150"/>
          <a:ext cx="974122" cy="851792"/>
        </a:xfrm>
        <a:prstGeom prst="rect">
          <a:avLst/>
        </a:prstGeom>
      </xdr:spPr>
    </xdr:pic>
    <xdr:clientData/>
  </xdr:twoCellAnchor>
  <xdr:twoCellAnchor>
    <xdr:from>
      <xdr:col>2</xdr:col>
      <xdr:colOff>138112</xdr:colOff>
      <xdr:row>30</xdr:row>
      <xdr:rowOff>147638</xdr:rowOff>
    </xdr:from>
    <xdr:to>
      <xdr:col>3</xdr:col>
      <xdr:colOff>38100</xdr:colOff>
      <xdr:row>32</xdr:row>
      <xdr:rowOff>66675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924300" y="5576888"/>
          <a:ext cx="2224088" cy="2809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100">
              <a:latin typeface="Georgia" panose="02040502050405020303" pitchFamily="18" charset="0"/>
            </a:rPr>
            <a:t>INFORMACION</a:t>
          </a:r>
          <a:r>
            <a:rPr lang="es-CO" sz="1100" baseline="0">
              <a:latin typeface="Georgia" panose="02040502050405020303" pitchFamily="18" charset="0"/>
            </a:rPr>
            <a:t> EXOGENA</a:t>
          </a:r>
          <a:endParaRPr lang="es-CO" sz="1100">
            <a:latin typeface="Georgia" panose="02040502050405020303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347662</xdr:colOff>
      <xdr:row>1</xdr:row>
      <xdr:rowOff>95250</xdr:rowOff>
    </xdr:from>
    <xdr:to>
      <xdr:col>7</xdr:col>
      <xdr:colOff>685189</xdr:colOff>
      <xdr:row>6</xdr:row>
      <xdr:rowOff>289902</xdr:rowOff>
    </xdr:to>
    <xdr:pic macro="[1]!cargar_info">
      <xdr:nvPicPr>
        <xdr:cNvPr id="4" name="Ima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34887" y="276225"/>
          <a:ext cx="1099527" cy="1099527"/>
        </a:xfrm>
        <a:prstGeom prst="rect">
          <a:avLst/>
        </a:prstGeom>
      </xdr:spPr>
    </xdr:pic>
    <xdr:clientData/>
  </xdr:twoCellAnchor>
  <xdr:twoCellAnchor editAs="absolute">
    <xdr:from>
      <xdr:col>6</xdr:col>
      <xdr:colOff>280988</xdr:colOff>
      <xdr:row>7</xdr:row>
      <xdr:rowOff>71437</xdr:rowOff>
    </xdr:from>
    <xdr:to>
      <xdr:col>8</xdr:col>
      <xdr:colOff>61913</xdr:colOff>
      <xdr:row>8</xdr:row>
      <xdr:rowOff>42863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2368213" y="1490662"/>
          <a:ext cx="1304925" cy="2952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>
              <a:latin typeface="Georgia" panose="02040502050405020303" pitchFamily="18" charset="0"/>
            </a:rPr>
            <a:t>Cargar</a:t>
          </a:r>
          <a:r>
            <a:rPr lang="es-CO" sz="1600" baseline="0">
              <a:latin typeface="Georgia" panose="02040502050405020303" pitchFamily="18" charset="0"/>
            </a:rPr>
            <a:t> </a:t>
          </a:r>
          <a:endParaRPr lang="es-CO" sz="1600"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6</xdr:col>
      <xdr:colOff>447675</xdr:colOff>
      <xdr:row>12</xdr:row>
      <xdr:rowOff>4762</xdr:rowOff>
    </xdr:from>
    <xdr:to>
      <xdr:col>7</xdr:col>
      <xdr:colOff>659797</xdr:colOff>
      <xdr:row>16</xdr:row>
      <xdr:rowOff>126756</xdr:rowOff>
    </xdr:to>
    <xdr:pic macro="[1]!btn_patrimonio">
      <xdr:nvPicPr>
        <xdr:cNvPr id="6" name="Imagen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900" y="2471737"/>
          <a:ext cx="974122" cy="845894"/>
        </a:xfrm>
        <a:prstGeom prst="rect">
          <a:avLst/>
        </a:prstGeom>
      </xdr:spPr>
    </xdr:pic>
    <xdr:clientData/>
  </xdr:twoCellAnchor>
  <xdr:twoCellAnchor editAs="absolute">
    <xdr:from>
      <xdr:col>6</xdr:col>
      <xdr:colOff>261938</xdr:colOff>
      <xdr:row>17</xdr:row>
      <xdr:rowOff>109538</xdr:rowOff>
    </xdr:from>
    <xdr:to>
      <xdr:col>8</xdr:col>
      <xdr:colOff>80963</xdr:colOff>
      <xdr:row>19</xdr:row>
      <xdr:rowOff>47625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12349163" y="3481388"/>
          <a:ext cx="1343025" cy="3000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200">
              <a:latin typeface="Georgia" panose="02040502050405020303" pitchFamily="18" charset="0"/>
            </a:rPr>
            <a:t>PATRIMONIO</a:t>
          </a:r>
        </a:p>
      </xdr:txBody>
    </xdr:sp>
    <xdr:clientData/>
  </xdr:twoCellAnchor>
  <xdr:twoCellAnchor editAs="absolute">
    <xdr:from>
      <xdr:col>6</xdr:col>
      <xdr:colOff>414337</xdr:colOff>
      <xdr:row>22</xdr:row>
      <xdr:rowOff>61912</xdr:rowOff>
    </xdr:from>
    <xdr:to>
      <xdr:col>8</xdr:col>
      <xdr:colOff>61640</xdr:colOff>
      <xdr:row>27</xdr:row>
      <xdr:rowOff>259</xdr:rowOff>
    </xdr:to>
    <xdr:pic macro="[1]!btn_back_DC">
      <xdr:nvPicPr>
        <xdr:cNvPr id="10" name="Imagen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1562" y="4338637"/>
          <a:ext cx="1171303" cy="843222"/>
        </a:xfrm>
        <a:prstGeom prst="rect">
          <a:avLst/>
        </a:prstGeom>
      </xdr:spPr>
    </xdr:pic>
    <xdr:clientData/>
  </xdr:twoCellAnchor>
  <xdr:twoCellAnchor editAs="absolute">
    <xdr:from>
      <xdr:col>6</xdr:col>
      <xdr:colOff>290512</xdr:colOff>
      <xdr:row>28</xdr:row>
      <xdr:rowOff>19050</xdr:rowOff>
    </xdr:from>
    <xdr:to>
      <xdr:col>8</xdr:col>
      <xdr:colOff>128587</xdr:colOff>
      <xdr:row>29</xdr:row>
      <xdr:rowOff>119063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12377737" y="5381625"/>
          <a:ext cx="1362075" cy="28098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200">
              <a:latin typeface="Georgia" panose="02040502050405020303" pitchFamily="18" charset="0"/>
            </a:rPr>
            <a:t>REGRESAR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137584</xdr:colOff>
      <xdr:row>0</xdr:row>
      <xdr:rowOff>5293</xdr:rowOff>
    </xdr:from>
    <xdr:to>
      <xdr:col>8</xdr:col>
      <xdr:colOff>183726</xdr:colOff>
      <xdr:row>3</xdr:row>
      <xdr:rowOff>158644</xdr:rowOff>
    </xdr:to>
    <xdr:pic>
      <xdr:nvPicPr>
        <xdr:cNvPr id="2" name="3 Imagen" descr="http://tocaima-cundinamarca.gov.co/apc-aa-files/39376166643762336466373566336363/dian_logo.jp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84" y="5293"/>
          <a:ext cx="2201332" cy="6921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317500</xdr:colOff>
      <xdr:row>1</xdr:row>
      <xdr:rowOff>14111</xdr:rowOff>
    </xdr:from>
    <xdr:to>
      <xdr:col>47</xdr:col>
      <xdr:colOff>46559</xdr:colOff>
      <xdr:row>7</xdr:row>
      <xdr:rowOff>6244</xdr:rowOff>
    </xdr:to>
    <xdr:pic macro="[1]!btn_editar"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08542" y="194028"/>
          <a:ext cx="1252107" cy="1282347"/>
        </a:xfrm>
        <a:prstGeom prst="rect">
          <a:avLst/>
        </a:prstGeom>
      </xdr:spPr>
    </xdr:pic>
    <xdr:clientData/>
  </xdr:twoCellAnchor>
  <xdr:twoCellAnchor editAs="oneCell">
    <xdr:from>
      <xdr:col>45</xdr:col>
      <xdr:colOff>381000</xdr:colOff>
      <xdr:row>11</xdr:row>
      <xdr:rowOff>111123</xdr:rowOff>
    </xdr:from>
    <xdr:to>
      <xdr:col>46</xdr:col>
      <xdr:colOff>670137</xdr:colOff>
      <xdr:row>15</xdr:row>
      <xdr:rowOff>6244</xdr:rowOff>
    </xdr:to>
    <xdr:pic macro="[1]!export_pdf"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2042" y="2391832"/>
          <a:ext cx="1053043" cy="1053043"/>
        </a:xfrm>
        <a:prstGeom prst="rect">
          <a:avLst/>
        </a:prstGeom>
      </xdr:spPr>
    </xdr:pic>
    <xdr:clientData/>
  </xdr:twoCellAnchor>
  <xdr:twoCellAnchor editAs="oneCell">
    <xdr:from>
      <xdr:col>45</xdr:col>
      <xdr:colOff>407458</xdr:colOff>
      <xdr:row>18</xdr:row>
      <xdr:rowOff>47625</xdr:rowOff>
    </xdr:from>
    <xdr:to>
      <xdr:col>46</xdr:col>
      <xdr:colOff>748982</xdr:colOff>
      <xdr:row>24</xdr:row>
      <xdr:rowOff>43816</xdr:rowOff>
    </xdr:to>
    <xdr:pic macro="[1]!guardar_excel">
      <xdr:nvPicPr>
        <xdr:cNvPr id="7" name="Imagen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8500" y="4095751"/>
          <a:ext cx="1100667" cy="1100667"/>
        </a:xfrm>
        <a:prstGeom prst="rect">
          <a:avLst/>
        </a:prstGeom>
      </xdr:spPr>
    </xdr:pic>
    <xdr:clientData/>
  </xdr:twoCellAnchor>
  <xdr:twoCellAnchor editAs="absolute">
    <xdr:from>
      <xdr:col>45</xdr:col>
      <xdr:colOff>465295</xdr:colOff>
      <xdr:row>27</xdr:row>
      <xdr:rowOff>296700</xdr:rowOff>
    </xdr:from>
    <xdr:to>
      <xdr:col>46</xdr:col>
      <xdr:colOff>753904</xdr:colOff>
      <xdr:row>32</xdr:row>
      <xdr:rowOff>310512</xdr:rowOff>
    </xdr:to>
    <xdr:pic macro="[1]!btn_cargarDB">
      <xdr:nvPicPr>
        <xdr:cNvPr id="6" name="Imagen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20749" y="5970982"/>
          <a:ext cx="1047751" cy="104775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36128</xdr:rowOff>
    </xdr:from>
    <xdr:to>
      <xdr:col>7</xdr:col>
      <xdr:colOff>171090</xdr:colOff>
      <xdr:row>3</xdr:row>
      <xdr:rowOff>402651</xdr:rowOff>
    </xdr:to>
    <xdr:pic>
      <xdr:nvPicPr>
        <xdr:cNvPr id="2" name="3 Imagen" descr="http://tocaima-cundinamarca.gov.co/apc-aa-files/39376166643762336466373566336363/dian_logo.jp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36128"/>
          <a:ext cx="1889760" cy="10035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689554</xdr:colOff>
      <xdr:row>6</xdr:row>
      <xdr:rowOff>159657</xdr:rowOff>
    </xdr:from>
    <xdr:to>
      <xdr:col>46</xdr:col>
      <xdr:colOff>893095</xdr:colOff>
      <xdr:row>13</xdr:row>
      <xdr:rowOff>172357</xdr:rowOff>
    </xdr:to>
    <xdr:pic macro="[1]!BotonEDITARDECLARACION"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838700" y="1731669"/>
          <a:ext cx="1415287" cy="148404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1196579</xdr:colOff>
      <xdr:row>0</xdr:row>
      <xdr:rowOff>133606</xdr:rowOff>
    </xdr:from>
    <xdr:to>
      <xdr:col>8</xdr:col>
      <xdr:colOff>1196579</xdr:colOff>
      <xdr:row>6</xdr:row>
      <xdr:rowOff>164086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725283" y="133606"/>
          <a:ext cx="7672917" cy="1124091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480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PATRIMONIO </a:t>
          </a:r>
        </a:p>
        <a:p>
          <a:pPr algn="ctr"/>
          <a:endParaRPr lang="es-ES" sz="4800">
            <a:solidFill>
              <a:schemeClr val="accent6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>
    <xdr:from>
      <xdr:col>9</xdr:col>
      <xdr:colOff>754380</xdr:colOff>
      <xdr:row>0</xdr:row>
      <xdr:rowOff>129540</xdr:rowOff>
    </xdr:from>
    <xdr:to>
      <xdr:col>15</xdr:col>
      <xdr:colOff>0</xdr:colOff>
      <xdr:row>6</xdr:row>
      <xdr:rowOff>160020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8503920" y="129540"/>
          <a:ext cx="6888480" cy="112776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480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DEUDAS</a:t>
          </a:r>
        </a:p>
        <a:p>
          <a:pPr algn="ctr"/>
          <a:endParaRPr lang="es-ES" sz="4800">
            <a:solidFill>
              <a:schemeClr val="accent6">
                <a:lumMod val="50000"/>
              </a:schemeClr>
            </a:solidFill>
            <a:latin typeface="Georgia" panose="02040502050405020303" pitchFamily="18" charset="0"/>
          </a:endParaRPr>
        </a:p>
        <a:p>
          <a:pPr algn="ctr"/>
          <a:endParaRPr lang="es-ES" sz="4800">
            <a:solidFill>
              <a:schemeClr val="accent6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 editAs="oneCell">
    <xdr:from>
      <xdr:col>4</xdr:col>
      <xdr:colOff>754379</xdr:colOff>
      <xdr:row>28</xdr:row>
      <xdr:rowOff>95943</xdr:rowOff>
    </xdr:from>
    <xdr:to>
      <xdr:col>6</xdr:col>
      <xdr:colOff>401682</xdr:colOff>
      <xdr:row>33</xdr:row>
      <xdr:rowOff>20682</xdr:rowOff>
    </xdr:to>
    <xdr:pic macro="[1]!btn_back_InfoExogena">
      <xdr:nvPicPr>
        <xdr:cNvPr id="5" name="Imagen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1939" y="5216583"/>
          <a:ext cx="1226821" cy="833697"/>
        </a:xfrm>
        <a:prstGeom prst="rect">
          <a:avLst/>
        </a:prstGeom>
      </xdr:spPr>
    </xdr:pic>
    <xdr:clientData/>
  </xdr:twoCellAnchor>
  <xdr:twoCellAnchor editAs="oneCell">
    <xdr:from>
      <xdr:col>10</xdr:col>
      <xdr:colOff>258535</xdr:colOff>
      <xdr:row>28</xdr:row>
      <xdr:rowOff>34315</xdr:rowOff>
    </xdr:from>
    <xdr:to>
      <xdr:col>10</xdr:col>
      <xdr:colOff>1273990</xdr:colOff>
      <xdr:row>33</xdr:row>
      <xdr:rowOff>116750</xdr:rowOff>
    </xdr:to>
    <xdr:pic macro="[1]!btn_cedula_general">
      <xdr:nvPicPr>
        <xdr:cNvPr id="6" name="Imagen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2411" y="5177815"/>
          <a:ext cx="1015455" cy="1000918"/>
        </a:xfrm>
        <a:prstGeom prst="rect">
          <a:avLst/>
        </a:prstGeom>
      </xdr:spPr>
    </xdr:pic>
    <xdr:clientData/>
  </xdr:twoCellAnchor>
  <xdr:twoCellAnchor>
    <xdr:from>
      <xdr:col>4</xdr:col>
      <xdr:colOff>367391</xdr:colOff>
      <xdr:row>34</xdr:row>
      <xdr:rowOff>95250</xdr:rowOff>
    </xdr:from>
    <xdr:to>
      <xdr:col>7</xdr:col>
      <xdr:colOff>503463</xdr:colOff>
      <xdr:row>35</xdr:row>
      <xdr:rowOff>176892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5368017" y="6340929"/>
          <a:ext cx="2109107" cy="26533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>
              <a:latin typeface="Georgia" panose="02040502050405020303" pitchFamily="18" charset="0"/>
            </a:rPr>
            <a:t>REGRESA</a:t>
          </a:r>
        </a:p>
      </xdr:txBody>
    </xdr:sp>
    <xdr:clientData/>
  </xdr:twoCellAnchor>
  <xdr:twoCellAnchor>
    <xdr:from>
      <xdr:col>9</xdr:col>
      <xdr:colOff>476248</xdr:colOff>
      <xdr:row>33</xdr:row>
      <xdr:rowOff>176891</xdr:rowOff>
    </xdr:from>
    <xdr:to>
      <xdr:col>11</xdr:col>
      <xdr:colOff>428623</xdr:colOff>
      <xdr:row>35</xdr:row>
      <xdr:rowOff>129267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/>
      </xdr:nvSpPr>
      <xdr:spPr>
        <a:xfrm>
          <a:off x="11668124" y="6238874"/>
          <a:ext cx="2075089" cy="3197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600">
              <a:latin typeface="Georgia" panose="02040502050405020303" pitchFamily="18" charset="0"/>
            </a:rPr>
            <a:t>CEDULA</a:t>
          </a:r>
          <a:r>
            <a:rPr lang="es-CO" sz="1600" baseline="0">
              <a:latin typeface="Georgia" panose="02040502050405020303" pitchFamily="18" charset="0"/>
            </a:rPr>
            <a:t> GENERAL</a:t>
          </a:r>
        </a:p>
        <a:p>
          <a:endParaRPr lang="es-CO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114300</xdr:rowOff>
    </xdr:from>
    <xdr:to>
      <xdr:col>5</xdr:col>
      <xdr:colOff>0</xdr:colOff>
      <xdr:row>7</xdr:row>
      <xdr:rowOff>22860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792480" y="114300"/>
          <a:ext cx="7711440" cy="118872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440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CEDULA</a:t>
          </a:r>
          <a:r>
            <a:rPr lang="es-ES" sz="4400" baseline="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 DIVIDENDOS</a:t>
          </a:r>
        </a:p>
        <a:p>
          <a:pPr algn="ctr"/>
          <a:endParaRPr lang="es-ES" sz="4400">
            <a:solidFill>
              <a:schemeClr val="accent6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 editAs="oneCell">
    <xdr:from>
      <xdr:col>2</xdr:col>
      <xdr:colOff>342900</xdr:colOff>
      <xdr:row>21</xdr:row>
      <xdr:rowOff>129540</xdr:rowOff>
    </xdr:from>
    <xdr:to>
      <xdr:col>2</xdr:col>
      <xdr:colOff>1581512</xdr:colOff>
      <xdr:row>26</xdr:row>
      <xdr:rowOff>16722</xdr:rowOff>
    </xdr:to>
    <xdr:pic macro="[1]!btn_back_pensiones">
      <xdr:nvPicPr>
        <xdr:cNvPr id="3" name="Imagen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7280" y="3970020"/>
          <a:ext cx="1226821" cy="833697"/>
        </a:xfrm>
        <a:prstGeom prst="rect">
          <a:avLst/>
        </a:prstGeom>
      </xdr:spPr>
    </xdr:pic>
    <xdr:clientData/>
  </xdr:twoCellAnchor>
  <xdr:twoCellAnchor editAs="oneCell">
    <xdr:from>
      <xdr:col>3</xdr:col>
      <xdr:colOff>1596390</xdr:colOff>
      <xdr:row>21</xdr:row>
      <xdr:rowOff>112999</xdr:rowOff>
    </xdr:from>
    <xdr:to>
      <xdr:col>3</xdr:col>
      <xdr:colOff>2588652</xdr:colOff>
      <xdr:row>26</xdr:row>
      <xdr:rowOff>18565</xdr:rowOff>
    </xdr:to>
    <xdr:pic macro="[1]!btn_ganancia_ocasional">
      <xdr:nvPicPr>
        <xdr:cNvPr id="5" name="Imagen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6599" y="3891249"/>
          <a:ext cx="992262" cy="842192"/>
        </a:xfrm>
        <a:prstGeom prst="rect">
          <a:avLst/>
        </a:prstGeom>
      </xdr:spPr>
    </xdr:pic>
    <xdr:clientData/>
  </xdr:twoCellAnchor>
  <xdr:twoCellAnchor>
    <xdr:from>
      <xdr:col>2</xdr:col>
      <xdr:colOff>174625</xdr:colOff>
      <xdr:row>26</xdr:row>
      <xdr:rowOff>132290</xdr:rowOff>
    </xdr:from>
    <xdr:to>
      <xdr:col>2</xdr:col>
      <xdr:colOff>1836209</xdr:colOff>
      <xdr:row>28</xdr:row>
      <xdr:rowOff>37041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4894792" y="4847166"/>
          <a:ext cx="1661584" cy="301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>
              <a:latin typeface="Georgia" panose="02040502050405020303" pitchFamily="18" charset="0"/>
            </a:rPr>
            <a:t>REGRESAR</a:t>
          </a:r>
        </a:p>
      </xdr:txBody>
    </xdr:sp>
    <xdr:clientData/>
  </xdr:twoCellAnchor>
  <xdr:twoCellAnchor>
    <xdr:from>
      <xdr:col>3</xdr:col>
      <xdr:colOff>735541</xdr:colOff>
      <xdr:row>26</xdr:row>
      <xdr:rowOff>148165</xdr:rowOff>
    </xdr:from>
    <xdr:to>
      <xdr:col>3</xdr:col>
      <xdr:colOff>3630082</xdr:colOff>
      <xdr:row>28</xdr:row>
      <xdr:rowOff>47624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 txBox="1"/>
      </xdr:nvSpPr>
      <xdr:spPr>
        <a:xfrm>
          <a:off x="7905750" y="4863041"/>
          <a:ext cx="2894541" cy="2963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>
              <a:latin typeface="Georgia" panose="02040502050405020303" pitchFamily="18" charset="0"/>
            </a:rPr>
            <a:t>GANANCIAS OCASIONALES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114300</xdr:rowOff>
    </xdr:from>
    <xdr:to>
      <xdr:col>12</xdr:col>
      <xdr:colOff>0</xdr:colOff>
      <xdr:row>7</xdr:row>
      <xdr:rowOff>22860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792480" y="114300"/>
          <a:ext cx="9006840" cy="118872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4400" baseline="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GANANCIAS OCASIONALES</a:t>
          </a:r>
        </a:p>
        <a:p>
          <a:pPr algn="ctr"/>
          <a:endParaRPr lang="es-ES" sz="4400">
            <a:solidFill>
              <a:schemeClr val="accent6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 editAs="oneCell">
    <xdr:from>
      <xdr:col>2</xdr:col>
      <xdr:colOff>1344581</xdr:colOff>
      <xdr:row>22</xdr:row>
      <xdr:rowOff>88448</xdr:rowOff>
    </xdr:from>
    <xdr:to>
      <xdr:col>3</xdr:col>
      <xdr:colOff>731284</xdr:colOff>
      <xdr:row>27</xdr:row>
      <xdr:rowOff>143338</xdr:rowOff>
    </xdr:to>
    <xdr:pic macro="[1]!btn_back_dividendos">
      <xdr:nvPicPr>
        <xdr:cNvPr id="3" name="Imagen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3010" y="4129769"/>
          <a:ext cx="1264488" cy="10073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33338</xdr:colOff>
          <xdr:row>8</xdr:row>
          <xdr:rowOff>171450</xdr:rowOff>
        </xdr:from>
        <xdr:to>
          <xdr:col>14</xdr:col>
          <xdr:colOff>552450</xdr:colOff>
          <xdr:row>10</xdr:row>
          <xdr:rowOff>42863</xdr:rowOff>
        </xdr:to>
        <xdr:sp macro="" textlink="">
          <xdr:nvSpPr>
            <xdr:cNvPr id="8194" name="Check Box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C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VENTA VIVIENDA URBANA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42863</xdr:colOff>
          <xdr:row>10</xdr:row>
          <xdr:rowOff>171450</xdr:rowOff>
        </xdr:from>
        <xdr:to>
          <xdr:col>14</xdr:col>
          <xdr:colOff>571500</xdr:colOff>
          <xdr:row>12</xdr:row>
          <xdr:rowOff>57150</xdr:rowOff>
        </xdr:to>
        <xdr:sp macro="" textlink="">
          <xdr:nvSpPr>
            <xdr:cNvPr id="8195" name="Check Box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C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HEREDERO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42863</xdr:colOff>
          <xdr:row>13</xdr:row>
          <xdr:rowOff>19050</xdr:rowOff>
        </xdr:from>
        <xdr:to>
          <xdr:col>15</xdr:col>
          <xdr:colOff>4763</xdr:colOff>
          <xdr:row>14</xdr:row>
          <xdr:rowOff>95250</xdr:rowOff>
        </xdr:to>
        <xdr:sp macro="" textlink="">
          <xdr:nvSpPr>
            <xdr:cNvPr id="8196" name="Check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C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PORCION CONYUGAL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42863</xdr:colOff>
          <xdr:row>15</xdr:row>
          <xdr:rowOff>33338</xdr:rowOff>
        </xdr:from>
        <xdr:to>
          <xdr:col>15</xdr:col>
          <xdr:colOff>19050</xdr:colOff>
          <xdr:row>16</xdr:row>
          <xdr:rowOff>109538</xdr:rowOff>
        </xdr:to>
        <xdr:sp macro="" textlink="">
          <xdr:nvSpPr>
            <xdr:cNvPr id="8197" name="Check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C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OTRAS RENTAS EXENTAS</a:t>
              </a:r>
            </a:p>
          </xdr:txBody>
        </xdr:sp>
        <xdr:clientData/>
      </xdr:twoCellAnchor>
    </mc:Choice>
    <mc:Fallback/>
  </mc:AlternateContent>
  <xdr:twoCellAnchor editAs="oneCell">
    <xdr:from>
      <xdr:col>6</xdr:col>
      <xdr:colOff>153481</xdr:colOff>
      <xdr:row>21</xdr:row>
      <xdr:rowOff>19846</xdr:rowOff>
    </xdr:from>
    <xdr:to>
      <xdr:col>7</xdr:col>
      <xdr:colOff>630674</xdr:colOff>
      <xdr:row>27</xdr:row>
      <xdr:rowOff>142875</xdr:rowOff>
    </xdr:to>
    <xdr:pic macro="[1]!btn_formulario">
      <xdr:nvPicPr>
        <xdr:cNvPr id="10" name="Imagen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7052" y="3877472"/>
          <a:ext cx="1157551" cy="12592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71438</xdr:colOff>
          <xdr:row>17</xdr:row>
          <xdr:rowOff>57150</xdr:rowOff>
        </xdr:from>
        <xdr:to>
          <xdr:col>15</xdr:col>
          <xdr:colOff>690563</xdr:colOff>
          <xdr:row>18</xdr:row>
          <xdr:rowOff>109538</xdr:rowOff>
        </xdr:to>
        <xdr:sp macro="" textlink="">
          <xdr:nvSpPr>
            <xdr:cNvPr id="8202" name="Check Box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C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VENTA VIVIENDA HABITACION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843643</xdr:colOff>
      <xdr:row>28</xdr:row>
      <xdr:rowOff>47625</xdr:rowOff>
    </xdr:from>
    <xdr:to>
      <xdr:col>3</xdr:col>
      <xdr:colOff>1251858</xdr:colOff>
      <xdr:row>30</xdr:row>
      <xdr:rowOff>6804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2422072" y="5259161"/>
          <a:ext cx="2286000" cy="3605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>
              <a:latin typeface="Georgia" panose="02040502050405020303" pitchFamily="18" charset="0"/>
            </a:rPr>
            <a:t>REGRESAR</a:t>
          </a:r>
        </a:p>
      </xdr:txBody>
    </xdr:sp>
    <xdr:clientData/>
  </xdr:twoCellAnchor>
  <xdr:twoCellAnchor>
    <xdr:from>
      <xdr:col>5</xdr:col>
      <xdr:colOff>408214</xdr:colOff>
      <xdr:row>28</xdr:row>
      <xdr:rowOff>47624</xdr:rowOff>
    </xdr:from>
    <xdr:to>
      <xdr:col>8</xdr:col>
      <xdr:colOff>428624</xdr:colOff>
      <xdr:row>29</xdr:row>
      <xdr:rowOff>163285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 txBox="1"/>
      </xdr:nvSpPr>
      <xdr:spPr>
        <a:xfrm>
          <a:off x="6531428" y="5259160"/>
          <a:ext cx="2061482" cy="333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600">
              <a:latin typeface="Georgia" panose="02040502050405020303" pitchFamily="18" charset="0"/>
            </a:rPr>
            <a:t>FORMULARIO 210</a:t>
          </a:r>
        </a:p>
        <a:p>
          <a:endParaRPr lang="es-CO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771525</xdr:colOff>
      <xdr:row>0</xdr:row>
      <xdr:rowOff>100012</xdr:rowOff>
    </xdr:from>
    <xdr:to>
      <xdr:col>10</xdr:col>
      <xdr:colOff>371475</xdr:colOff>
      <xdr:row>7</xdr:row>
      <xdr:rowOff>8572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71525" y="100012"/>
          <a:ext cx="7815263" cy="1175385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440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CEDULA</a:t>
          </a:r>
          <a:r>
            <a:rPr lang="es-ES" sz="4400" baseline="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 PENSIONES</a:t>
          </a:r>
        </a:p>
        <a:p>
          <a:pPr algn="ctr"/>
          <a:endParaRPr lang="es-ES" sz="4400">
            <a:solidFill>
              <a:schemeClr val="accent6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 editAs="oneCell">
    <xdr:from>
      <xdr:col>3</xdr:col>
      <xdr:colOff>640080</xdr:colOff>
      <xdr:row>21</xdr:row>
      <xdr:rowOff>167640</xdr:rowOff>
    </xdr:from>
    <xdr:to>
      <xdr:col>5</xdr:col>
      <xdr:colOff>477883</xdr:colOff>
      <xdr:row>26</xdr:row>
      <xdr:rowOff>96007</xdr:rowOff>
    </xdr:to>
    <xdr:pic macro="[1]!btn_back_CG">
      <xdr:nvPicPr>
        <xdr:cNvPr id="7" name="Imagen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7520" y="6019800"/>
          <a:ext cx="1226821" cy="833697"/>
        </a:xfrm>
        <a:prstGeom prst="rect">
          <a:avLst/>
        </a:prstGeom>
      </xdr:spPr>
    </xdr:pic>
    <xdr:clientData/>
  </xdr:twoCellAnchor>
  <xdr:twoCellAnchor editAs="oneCell">
    <xdr:from>
      <xdr:col>8</xdr:col>
      <xdr:colOff>304800</xdr:colOff>
      <xdr:row>21</xdr:row>
      <xdr:rowOff>167640</xdr:rowOff>
    </xdr:from>
    <xdr:to>
      <xdr:col>9</xdr:col>
      <xdr:colOff>400805</xdr:colOff>
      <xdr:row>26</xdr:row>
      <xdr:rowOff>18690</xdr:rowOff>
    </xdr:to>
    <xdr:pic macro="[1]!btn_dividendos">
      <xdr:nvPicPr>
        <xdr:cNvPr id="9" name="Imagen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6980" y="4008120"/>
          <a:ext cx="874879" cy="777241"/>
        </a:xfrm>
        <a:prstGeom prst="rect">
          <a:avLst/>
        </a:prstGeom>
      </xdr:spPr>
    </xdr:pic>
    <xdr:clientData/>
  </xdr:twoCellAnchor>
  <xdr:twoCellAnchor>
    <xdr:from>
      <xdr:col>3</xdr:col>
      <xdr:colOff>385762</xdr:colOff>
      <xdr:row>27</xdr:row>
      <xdr:rowOff>33339</xdr:rowOff>
    </xdr:from>
    <xdr:to>
      <xdr:col>6</xdr:col>
      <xdr:colOff>157162</xdr:colOff>
      <xdr:row>28</xdr:row>
      <xdr:rowOff>119064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2757487" y="4957764"/>
          <a:ext cx="1976438" cy="30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>
              <a:latin typeface="Georgia" panose="02040502050405020303" pitchFamily="18" charset="0"/>
            </a:rPr>
            <a:t>REGRESAR</a:t>
          </a:r>
        </a:p>
      </xdr:txBody>
    </xdr:sp>
    <xdr:clientData/>
  </xdr:twoCellAnchor>
  <xdr:twoCellAnchor>
    <xdr:from>
      <xdr:col>6</xdr:col>
      <xdr:colOff>542925</xdr:colOff>
      <xdr:row>27</xdr:row>
      <xdr:rowOff>33338</xdr:rowOff>
    </xdr:from>
    <xdr:to>
      <xdr:col>11</xdr:col>
      <xdr:colOff>214311</xdr:colOff>
      <xdr:row>28</xdr:row>
      <xdr:rowOff>114300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5119688" y="4957763"/>
          <a:ext cx="3700461" cy="3000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>
              <a:latin typeface="Georgia" panose="02040502050405020303" pitchFamily="18" charset="0"/>
            </a:rPr>
            <a:t>DIVIDENDOS Y PARTICIPACIONES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arwi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sus/Desktop/Declaraciones%20de%20Renta%202019/Nuevo%20Formulario%20210%20Patrimoni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BotonEDITARDECLARACION"/>
      <definedName name="btn_back_CG"/>
      <definedName name="btn_back_DC"/>
      <definedName name="btn_back_dividendos"/>
      <definedName name="btn_back_InfoExogena"/>
      <definedName name="btn_back_patrimonio"/>
      <definedName name="btn_back_pensiones"/>
      <definedName name="btn_cargarDB"/>
      <definedName name="btn_cedula_general"/>
      <definedName name="btn_dividendos"/>
      <definedName name="btn_editar"/>
      <definedName name="btn_formulario"/>
      <definedName name="btn_ganancia_ocasional"/>
      <definedName name="btn_Informacion_exogena"/>
      <definedName name="btn_patrimonio"/>
      <definedName name="btn_pensiones"/>
      <definedName name="BtnNada"/>
      <definedName name="cargar_info"/>
      <definedName name="export_pdf"/>
      <definedName name="guardar_excel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ipos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0F4AFE21-5DA8-4938-9879-3BDB64638B84}" autoFormatId="16" applyNumberFormats="0" applyBorderFormats="0" applyFontFormats="0" applyPatternFormats="0" applyAlignmentFormats="0" applyWidthHeightFormats="0">
  <queryTableRefresh nextId="4" unboundColumnsRight="1">
    <queryTableFields count="2">
      <queryTableField id="2" name="Column2" tableColumnId="2"/>
      <queryTableField id="3" dataBound="0" tableColumnId="4"/>
    </queryTableFields>
    <queryTableDeletedFields count="1">
      <deletedField name="Column1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18FC1A-A4D6-4A50-B436-BA8C54346CE9}" name="Table_0" displayName="Table_0" ref="A1:B45" tableType="queryTable" totalsRowShown="0">
  <autoFilter ref="A1:B45" xr:uid="{4C745874-9E34-4E27-AC9D-CDFB81D84424}"/>
  <sortState xmlns:xlrd2="http://schemas.microsoft.com/office/spreadsheetml/2017/richdata2" ref="A2:B45">
    <sortCondition ref="B1:B45"/>
  </sortState>
  <tableColumns count="2">
    <tableColumn id="2" xr3:uid="{C773B76A-94E4-44E1-A04E-7F4225FB8CC0}" uniqueName="2" name="Seccional" queryTableFieldId="2" dataDxfId="9"/>
    <tableColumn id="4" xr3:uid="{65A8346B-3D8D-4AA4-9730-54F03C237984}" uniqueName="4" name="Ciudad" queryTableFieldId="3" dataDxfId="8">
      <calculatedColumnFormula>+RIGHT(Table_0[[#This Row],[Seccional]],10)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EFCB4-6B8C-4ECF-BA2B-C48D23EF2F57}">
  <sheetPr codeName="Hoja11"/>
  <dimension ref="B1:T55"/>
  <sheetViews>
    <sheetView showGridLines="0" topLeftCell="C13" zoomScale="70" zoomScaleNormal="70" workbookViewId="0">
      <selection activeCell="T22" sqref="T22"/>
    </sheetView>
  </sheetViews>
  <sheetFormatPr baseColWidth="10" defaultColWidth="11.06640625" defaultRowHeight="14.25" x14ac:dyDescent="0.45"/>
  <cols>
    <col min="1" max="1" width="11.06640625" style="289"/>
    <col min="2" max="2" width="5" style="289" customWidth="1"/>
    <col min="3" max="3" width="5.86328125" style="289" customWidth="1"/>
    <col min="4" max="4" width="62.1328125" style="289" customWidth="1"/>
    <col min="5" max="5" width="18.796875" style="289" customWidth="1"/>
    <col min="6" max="6" width="20" style="289" customWidth="1"/>
    <col min="7" max="7" width="11.06640625" style="289"/>
    <col min="8" max="8" width="9.53125" style="289" customWidth="1"/>
    <col min="9" max="10" width="11.06640625" style="289"/>
    <col min="11" max="11" width="19.265625" style="289" customWidth="1"/>
    <col min="12" max="16384" width="11.06640625" style="289"/>
  </cols>
  <sheetData>
    <row r="1" spans="2:20" x14ac:dyDescent="0.45"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</row>
    <row r="2" spans="2:20" x14ac:dyDescent="0.45"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spans="2:20" x14ac:dyDescent="0.45"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 spans="2:20" ht="14.65" thickBot="1" x14ac:dyDescent="0.5">
      <c r="B4" s="114"/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14"/>
      <c r="O4" s="114"/>
      <c r="P4" s="114"/>
      <c r="Q4" s="114"/>
      <c r="R4" s="114"/>
    </row>
    <row r="5" spans="2:20" ht="14.65" customHeight="1" x14ac:dyDescent="0.45">
      <c r="B5" s="114"/>
      <c r="C5" s="114"/>
      <c r="D5" s="114"/>
      <c r="E5" s="114"/>
      <c r="F5" s="114"/>
      <c r="G5" s="114"/>
      <c r="H5" s="114"/>
      <c r="I5" s="114"/>
      <c r="J5" s="114"/>
      <c r="K5" s="114"/>
      <c r="L5" s="114"/>
      <c r="M5" s="304" t="s">
        <v>135</v>
      </c>
      <c r="N5" s="305"/>
      <c r="O5" s="305"/>
      <c r="P5" s="305"/>
      <c r="Q5" s="306"/>
      <c r="R5" s="114"/>
    </row>
    <row r="6" spans="2:20" ht="14.65" customHeight="1" x14ac:dyDescent="0.45">
      <c r="B6" s="114"/>
      <c r="C6" s="114"/>
      <c r="D6" s="114"/>
      <c r="E6" s="114"/>
      <c r="F6" s="114"/>
      <c r="G6" s="114"/>
      <c r="H6" s="114"/>
      <c r="I6" s="114"/>
      <c r="J6" s="114"/>
      <c r="K6" s="114"/>
      <c r="L6" s="114"/>
      <c r="M6" s="307"/>
      <c r="N6" s="308"/>
      <c r="O6" s="308"/>
      <c r="P6" s="308"/>
      <c r="Q6" s="309"/>
      <c r="R6" s="114"/>
    </row>
    <row r="7" spans="2:20" ht="14.65" customHeight="1" thickBot="1" x14ac:dyDescent="0.5">
      <c r="B7" s="114"/>
      <c r="C7" s="114"/>
      <c r="D7" s="114"/>
      <c r="E7" s="114"/>
      <c r="F7" s="114"/>
      <c r="G7" s="114"/>
      <c r="H7" s="114"/>
      <c r="I7" s="114"/>
      <c r="J7" s="114"/>
      <c r="K7" s="114"/>
      <c r="L7" s="114"/>
      <c r="M7" s="310"/>
      <c r="N7" s="311"/>
      <c r="O7" s="311"/>
      <c r="P7" s="311"/>
      <c r="Q7" s="312"/>
      <c r="R7" s="114"/>
    </row>
    <row r="8" spans="2:20" x14ac:dyDescent="0.45">
      <c r="B8" s="114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213"/>
      <c r="N8" s="215"/>
      <c r="O8" s="215"/>
      <c r="P8" s="215"/>
      <c r="Q8" s="212"/>
      <c r="R8" s="114"/>
    </row>
    <row r="9" spans="2:20" x14ac:dyDescent="0.45">
      <c r="B9" s="114"/>
      <c r="C9" s="114"/>
      <c r="D9" s="240" t="s">
        <v>132</v>
      </c>
      <c r="E9" s="117" t="s">
        <v>126</v>
      </c>
      <c r="F9" s="117" t="s">
        <v>202</v>
      </c>
      <c r="G9" s="318" t="s">
        <v>133</v>
      </c>
      <c r="H9" s="318"/>
      <c r="I9" s="318"/>
      <c r="J9" s="318"/>
      <c r="K9" s="117" t="s">
        <v>134</v>
      </c>
      <c r="L9" s="114"/>
      <c r="M9" s="115"/>
      <c r="N9" s="114"/>
      <c r="O9" s="114"/>
      <c r="P9" s="114"/>
      <c r="Q9" s="116"/>
      <c r="R9" s="114"/>
    </row>
    <row r="10" spans="2:20" ht="14.65" thickBot="1" x14ac:dyDescent="0.5">
      <c r="B10" s="114"/>
      <c r="C10" s="114"/>
      <c r="D10" s="125"/>
      <c r="E10" s="113" t="str">
        <f>+IFERROR(VLOOKUP(D10,Tipos!C:D,2,0)," ")</f>
        <v xml:space="preserve"> </v>
      </c>
      <c r="F10" s="113" t="str">
        <f>IFERROR(+VLOOKUP(D10,Tipos!C:E,3,0)," ")</f>
        <v xml:space="preserve"> </v>
      </c>
      <c r="G10" s="299"/>
      <c r="H10" s="299"/>
      <c r="I10" s="299"/>
      <c r="J10" s="299"/>
      <c r="K10" s="118"/>
      <c r="L10" s="114"/>
      <c r="M10" s="115"/>
      <c r="N10" s="114"/>
      <c r="O10" s="114"/>
      <c r="P10" s="114"/>
      <c r="Q10" s="116"/>
      <c r="R10" s="114"/>
    </row>
    <row r="11" spans="2:20" ht="14.65" thickBot="1" x14ac:dyDescent="0.5">
      <c r="B11" s="114"/>
      <c r="C11" s="114"/>
      <c r="D11" s="125"/>
      <c r="E11" s="113" t="str">
        <f>+IFERROR(VLOOKUP(D11,Tipos!C:D,2,0)," ")</f>
        <v xml:space="preserve"> </v>
      </c>
      <c r="F11" s="113" t="str">
        <f>IFERROR(+VLOOKUP(D11,Tipos!C:E,3,0)," ")</f>
        <v xml:space="preserve"> </v>
      </c>
      <c r="G11" s="299"/>
      <c r="H11" s="299"/>
      <c r="I11" s="299"/>
      <c r="J11" s="299"/>
      <c r="K11" s="118"/>
      <c r="L11" s="114"/>
      <c r="M11" s="319" t="s">
        <v>581</v>
      </c>
      <c r="N11" s="320"/>
      <c r="O11" s="271">
        <v>4</v>
      </c>
      <c r="P11" s="114"/>
      <c r="Q11" s="116"/>
      <c r="R11" s="114"/>
    </row>
    <row r="12" spans="2:20" x14ac:dyDescent="0.45">
      <c r="B12" s="114"/>
      <c r="C12" s="114"/>
      <c r="D12" s="125"/>
      <c r="E12" s="113" t="str">
        <f>+IFERROR(VLOOKUP(D12,Tipos!C:D,2,0)," ")</f>
        <v xml:space="preserve"> </v>
      </c>
      <c r="F12" s="113" t="str">
        <f>IFERROR(+VLOOKUP(D12,Tipos!C:E,3,0)," ")</f>
        <v xml:space="preserve"> </v>
      </c>
      <c r="G12" s="299"/>
      <c r="H12" s="299"/>
      <c r="I12" s="299"/>
      <c r="J12" s="299"/>
      <c r="K12" s="118"/>
      <c r="L12" s="114"/>
      <c r="M12" s="269"/>
      <c r="N12" s="270"/>
      <c r="O12" s="124"/>
      <c r="P12" s="114"/>
      <c r="Q12" s="116"/>
      <c r="R12" s="114"/>
    </row>
    <row r="13" spans="2:20" x14ac:dyDescent="0.45">
      <c r="B13" s="114"/>
      <c r="C13" s="114"/>
      <c r="D13" s="125"/>
      <c r="E13" s="113" t="str">
        <f>+IFERROR(VLOOKUP(D13,Tipos!C:D,2,0)," ")</f>
        <v xml:space="preserve"> </v>
      </c>
      <c r="F13" s="113" t="str">
        <f>IFERROR(+VLOOKUP(D13,Tipos!C:E,3,0)," ")</f>
        <v xml:space="preserve"> </v>
      </c>
      <c r="G13" s="299"/>
      <c r="H13" s="299"/>
      <c r="I13" s="299"/>
      <c r="J13" s="299"/>
      <c r="K13" s="118"/>
      <c r="L13" s="114"/>
      <c r="M13" s="269"/>
      <c r="N13" s="270"/>
      <c r="O13" s="302" t="s">
        <v>234</v>
      </c>
      <c r="P13" s="302"/>
      <c r="Q13" s="116"/>
      <c r="R13" s="270"/>
      <c r="S13" s="295"/>
      <c r="T13" s="296"/>
    </row>
    <row r="14" spans="2:20" x14ac:dyDescent="0.45">
      <c r="B14" s="114"/>
      <c r="C14" s="114"/>
      <c r="D14" s="125"/>
      <c r="E14" s="113" t="str">
        <f>+IFERROR(VLOOKUP(D14,Tipos!C:D,2,0)," ")</f>
        <v xml:space="preserve"> </v>
      </c>
      <c r="F14" s="113" t="str">
        <f>IFERROR(+VLOOKUP(D14,Tipos!C:E,3,0)," ")</f>
        <v xml:space="preserve"> </v>
      </c>
      <c r="G14" s="299"/>
      <c r="H14" s="299"/>
      <c r="I14" s="299"/>
      <c r="J14" s="299"/>
      <c r="K14" s="118"/>
      <c r="L14" s="114"/>
      <c r="M14" s="321" t="s">
        <v>585</v>
      </c>
      <c r="N14" s="322"/>
      <c r="O14" s="301"/>
      <c r="P14" s="301"/>
      <c r="Q14" s="116"/>
      <c r="R14" s="114"/>
    </row>
    <row r="15" spans="2:20" x14ac:dyDescent="0.45">
      <c r="B15" s="114"/>
      <c r="C15" s="114"/>
      <c r="D15" s="125"/>
      <c r="E15" s="113" t="str">
        <f>+IFERROR(VLOOKUP(D15,Tipos!C:D,2,0)," ")</f>
        <v xml:space="preserve"> </v>
      </c>
      <c r="F15" s="113" t="str">
        <f>IFERROR(+VLOOKUP(D15,Tipos!C:E,3,0)," ")</f>
        <v xml:space="preserve"> </v>
      </c>
      <c r="G15" s="299"/>
      <c r="H15" s="299"/>
      <c r="I15" s="299"/>
      <c r="J15" s="299"/>
      <c r="K15" s="118"/>
      <c r="L15" s="114"/>
      <c r="M15" s="115"/>
      <c r="N15" s="114"/>
      <c r="O15" s="114"/>
      <c r="P15" s="114"/>
      <c r="Q15" s="116"/>
      <c r="R15" s="114"/>
    </row>
    <row r="16" spans="2:20" x14ac:dyDescent="0.45">
      <c r="B16" s="114"/>
      <c r="C16" s="114"/>
      <c r="D16" s="125"/>
      <c r="E16" s="113" t="str">
        <f>+IFERROR(VLOOKUP(D16,Tipos!C:D,2,0)," ")</f>
        <v xml:space="preserve"> </v>
      </c>
      <c r="F16" s="113" t="str">
        <f>IFERROR(+VLOOKUP(D16,Tipos!C:E,3,0)," ")</f>
        <v xml:space="preserve"> </v>
      </c>
      <c r="G16" s="323"/>
      <c r="H16" s="324"/>
      <c r="I16" s="324"/>
      <c r="J16" s="325"/>
      <c r="K16" s="118"/>
      <c r="L16" s="114"/>
      <c r="M16" s="115"/>
      <c r="N16" s="114"/>
      <c r="O16" s="302" t="s">
        <v>234</v>
      </c>
      <c r="P16" s="302"/>
      <c r="Q16" s="116"/>
      <c r="R16" s="114"/>
    </row>
    <row r="17" spans="2:19" x14ac:dyDescent="0.45">
      <c r="B17" s="114"/>
      <c r="C17" s="114"/>
      <c r="D17" s="125"/>
      <c r="E17" s="113" t="str">
        <f>+IFERROR(VLOOKUP(D17,Tipos!C:D,2,0)," ")</f>
        <v xml:space="preserve"> </v>
      </c>
      <c r="F17" s="113" t="str">
        <f>IFERROR(+VLOOKUP(D17,Tipos!C:E,3,0)," ")</f>
        <v xml:space="preserve"> </v>
      </c>
      <c r="G17" s="323"/>
      <c r="H17" s="324"/>
      <c r="I17" s="324"/>
      <c r="J17" s="325"/>
      <c r="K17" s="118"/>
      <c r="L17" s="114"/>
      <c r="M17" s="115"/>
      <c r="N17" s="114"/>
      <c r="O17" s="301"/>
      <c r="P17" s="301"/>
      <c r="Q17" s="116"/>
      <c r="R17" s="114"/>
    </row>
    <row r="18" spans="2:19" x14ac:dyDescent="0.45">
      <c r="B18" s="114"/>
      <c r="C18" s="114"/>
      <c r="D18" s="125"/>
      <c r="E18" s="113" t="str">
        <f>+IFERROR(VLOOKUP(D18,Tipos!C:D,2,0)," ")</f>
        <v xml:space="preserve"> </v>
      </c>
      <c r="F18" s="113" t="str">
        <f>IFERROR(+VLOOKUP(D18,Tipos!C:E,3,0)," ")</f>
        <v xml:space="preserve"> </v>
      </c>
      <c r="G18" s="323"/>
      <c r="H18" s="324"/>
      <c r="I18" s="324"/>
      <c r="J18" s="325"/>
      <c r="K18" s="118"/>
      <c r="L18" s="114"/>
      <c r="M18" s="115"/>
      <c r="N18" s="114"/>
      <c r="O18" s="303"/>
      <c r="P18" s="303"/>
      <c r="Q18" s="116"/>
      <c r="R18" s="114"/>
    </row>
    <row r="19" spans="2:19" ht="14.65" customHeight="1" x14ac:dyDescent="0.45">
      <c r="B19" s="114"/>
      <c r="C19" s="114"/>
      <c r="D19" s="125"/>
      <c r="E19" s="113" t="str">
        <f>+IFERROR(VLOOKUP(D19,Tipos!C:D,2,0)," ")</f>
        <v xml:space="preserve"> </v>
      </c>
      <c r="F19" s="113" t="str">
        <f>IFERROR(+VLOOKUP(D19,Tipos!C:E,3,0)," ")</f>
        <v xml:space="preserve"> </v>
      </c>
      <c r="G19" s="323"/>
      <c r="H19" s="324"/>
      <c r="I19" s="324"/>
      <c r="J19" s="325"/>
      <c r="K19" s="118"/>
      <c r="L19" s="114"/>
      <c r="M19" s="115"/>
      <c r="N19" s="114"/>
      <c r="O19" s="302" t="s">
        <v>234</v>
      </c>
      <c r="P19" s="302"/>
      <c r="Q19" s="116"/>
      <c r="R19" s="114"/>
    </row>
    <row r="20" spans="2:19" ht="14.65" customHeight="1" x14ac:dyDescent="0.45">
      <c r="B20" s="114"/>
      <c r="C20" s="114"/>
      <c r="D20" s="125"/>
      <c r="E20" s="113" t="str">
        <f>+IFERROR(VLOOKUP(D20,Tipos!C:D,2,0)," ")</f>
        <v xml:space="preserve"> </v>
      </c>
      <c r="F20" s="113" t="str">
        <f>IFERROR(+VLOOKUP(D20,Tipos!C:E,3,0)," ")</f>
        <v xml:space="preserve"> </v>
      </c>
      <c r="G20" s="323"/>
      <c r="H20" s="324"/>
      <c r="I20" s="324"/>
      <c r="J20" s="325"/>
      <c r="K20" s="118"/>
      <c r="L20" s="114"/>
      <c r="M20" s="115"/>
      <c r="N20" s="114"/>
      <c r="O20" s="301"/>
      <c r="P20" s="301"/>
      <c r="Q20" s="116"/>
      <c r="R20" s="114"/>
    </row>
    <row r="21" spans="2:19" ht="14.65" customHeight="1" x14ac:dyDescent="0.45">
      <c r="B21" s="114"/>
      <c r="C21" s="114"/>
      <c r="D21" s="125"/>
      <c r="E21" s="113" t="str">
        <f>+IFERROR(VLOOKUP(D21,Tipos!C:D,2,0)," ")</f>
        <v xml:space="preserve"> </v>
      </c>
      <c r="F21" s="113" t="str">
        <f>IFERROR(+VLOOKUP(D21,Tipos!C:E,3,0)," ")</f>
        <v xml:space="preserve"> </v>
      </c>
      <c r="G21" s="299"/>
      <c r="H21" s="299"/>
      <c r="I21" s="299"/>
      <c r="J21" s="299"/>
      <c r="K21" s="118"/>
      <c r="L21" s="114"/>
      <c r="M21" s="115"/>
      <c r="N21" s="114"/>
      <c r="O21" s="119"/>
      <c r="P21" s="119"/>
      <c r="Q21" s="116"/>
      <c r="R21" s="114"/>
      <c r="S21" s="297"/>
    </row>
    <row r="22" spans="2:19" x14ac:dyDescent="0.45">
      <c r="B22" s="114"/>
      <c r="C22" s="114"/>
      <c r="D22" s="125"/>
      <c r="E22" s="113" t="str">
        <f>+IFERROR(VLOOKUP(D22,Tipos!C:D,2,0)," ")</f>
        <v xml:space="preserve"> </v>
      </c>
      <c r="F22" s="113" t="str">
        <f>IFERROR(+VLOOKUP(D22,Tipos!C:E,3,0)," ")</f>
        <v xml:space="preserve"> </v>
      </c>
      <c r="G22" s="299"/>
      <c r="H22" s="299"/>
      <c r="I22" s="299"/>
      <c r="J22" s="299"/>
      <c r="K22" s="118"/>
      <c r="L22" s="114"/>
      <c r="M22" s="115"/>
      <c r="N22" s="114"/>
      <c r="O22" s="302" t="s">
        <v>234</v>
      </c>
      <c r="P22" s="302"/>
      <c r="Q22" s="116"/>
      <c r="R22" s="114"/>
    </row>
    <row r="23" spans="2:19" ht="14.65" thickBot="1" x14ac:dyDescent="0.5">
      <c r="B23" s="114"/>
      <c r="C23" s="114"/>
      <c r="D23" s="125"/>
      <c r="E23" s="113" t="str">
        <f>+IFERROR(VLOOKUP(D23,Tipos!C:D,2,0)," ")</f>
        <v xml:space="preserve"> </v>
      </c>
      <c r="F23" s="113" t="str">
        <f>IFERROR(+VLOOKUP(D23,Tipos!C:E,3,0)," ")</f>
        <v xml:space="preserve"> </v>
      </c>
      <c r="G23" s="299"/>
      <c r="H23" s="299"/>
      <c r="I23" s="299"/>
      <c r="J23" s="299"/>
      <c r="K23" s="118"/>
      <c r="L23" s="114"/>
      <c r="M23" s="120"/>
      <c r="N23" s="121"/>
      <c r="O23" s="315"/>
      <c r="P23" s="315"/>
      <c r="Q23" s="122"/>
      <c r="R23" s="114"/>
    </row>
    <row r="24" spans="2:19" x14ac:dyDescent="0.45">
      <c r="B24" s="114"/>
      <c r="C24" s="114"/>
      <c r="D24" s="125"/>
      <c r="E24" s="113" t="str">
        <f>+IFERROR(VLOOKUP(D24,Tipos!C:D,2,0)," ")</f>
        <v xml:space="preserve"> </v>
      </c>
      <c r="F24" s="113" t="str">
        <f>IFERROR(+VLOOKUP(D24,Tipos!C:E,3,0)," ")</f>
        <v xml:space="preserve"> </v>
      </c>
      <c r="G24" s="299"/>
      <c r="H24" s="299"/>
      <c r="I24" s="299"/>
      <c r="J24" s="299"/>
      <c r="K24" s="118"/>
      <c r="L24" s="114"/>
      <c r="M24" s="307" t="s">
        <v>163</v>
      </c>
      <c r="N24" s="308"/>
      <c r="O24" s="308"/>
      <c r="P24" s="308"/>
      <c r="Q24" s="309"/>
      <c r="R24" s="114"/>
    </row>
    <row r="25" spans="2:19" x14ac:dyDescent="0.45">
      <c r="B25" s="114"/>
      <c r="C25" s="114"/>
      <c r="D25" s="125"/>
      <c r="E25" s="113" t="str">
        <f>+IFERROR(VLOOKUP(D25,Tipos!C:D,2,0)," ")</f>
        <v xml:space="preserve"> </v>
      </c>
      <c r="F25" s="113" t="str">
        <f>IFERROR(+VLOOKUP(D25,Tipos!C:E,3,0)," ")</f>
        <v xml:space="preserve"> </v>
      </c>
      <c r="G25" s="299"/>
      <c r="H25" s="299"/>
      <c r="I25" s="299"/>
      <c r="J25" s="299"/>
      <c r="K25" s="118"/>
      <c r="L25" s="114"/>
      <c r="M25" s="307"/>
      <c r="N25" s="308"/>
      <c r="O25" s="308"/>
      <c r="P25" s="308"/>
      <c r="Q25" s="309"/>
      <c r="R25" s="114"/>
    </row>
    <row r="26" spans="2:19" ht="14.65" thickBot="1" x14ac:dyDescent="0.5">
      <c r="B26" s="114"/>
      <c r="C26" s="114"/>
      <c r="D26" s="125"/>
      <c r="E26" s="113" t="str">
        <f>+IFERROR(VLOOKUP(D26,Tipos!C:D,2,0)," ")</f>
        <v xml:space="preserve"> </v>
      </c>
      <c r="F26" s="113" t="str">
        <f>IFERROR(+VLOOKUP(D26,Tipos!C:E,3,0)," ")</f>
        <v xml:space="preserve"> </v>
      </c>
      <c r="G26" s="299"/>
      <c r="H26" s="299"/>
      <c r="I26" s="299"/>
      <c r="J26" s="299"/>
      <c r="K26" s="118"/>
      <c r="L26" s="114"/>
      <c r="M26" s="310"/>
      <c r="N26" s="311"/>
      <c r="O26" s="311"/>
      <c r="P26" s="311"/>
      <c r="Q26" s="312"/>
      <c r="R26" s="114"/>
    </row>
    <row r="27" spans="2:19" x14ac:dyDescent="0.45">
      <c r="B27" s="114"/>
      <c r="C27" s="114"/>
      <c r="D27" s="125"/>
      <c r="E27" s="113" t="str">
        <f>+IFERROR(VLOOKUP(D27,Tipos!C:D,2,0)," ")</f>
        <v xml:space="preserve"> </v>
      </c>
      <c r="F27" s="113" t="str">
        <f>IFERROR(+VLOOKUP(D27,Tipos!C:E,3,0)," ")</f>
        <v xml:space="preserve"> </v>
      </c>
      <c r="G27" s="299"/>
      <c r="H27" s="299"/>
      <c r="I27" s="299"/>
      <c r="J27" s="299"/>
      <c r="K27" s="118"/>
      <c r="L27" s="114"/>
      <c r="M27" s="115"/>
      <c r="N27" s="114"/>
      <c r="O27" s="114"/>
      <c r="P27" s="114"/>
      <c r="Q27" s="116"/>
      <c r="R27" s="114"/>
    </row>
    <row r="28" spans="2:19" x14ac:dyDescent="0.45">
      <c r="B28" s="114"/>
      <c r="C28" s="114"/>
      <c r="D28" s="125"/>
      <c r="E28" s="113" t="str">
        <f>+IFERROR(VLOOKUP(D28,Tipos!C:D,2,0)," ")</f>
        <v xml:space="preserve"> </v>
      </c>
      <c r="F28" s="113" t="str">
        <f>IFERROR(+VLOOKUP(D28,Tipos!C:E,3,0)," ")</f>
        <v xml:space="preserve"> </v>
      </c>
      <c r="G28" s="299"/>
      <c r="H28" s="299"/>
      <c r="I28" s="299"/>
      <c r="J28" s="299"/>
      <c r="K28" s="118"/>
      <c r="L28" s="114"/>
      <c r="M28" s="115"/>
      <c r="N28" s="114"/>
      <c r="O28" s="114"/>
      <c r="P28" s="119"/>
      <c r="Q28" s="123"/>
      <c r="R28" s="114"/>
    </row>
    <row r="29" spans="2:19" x14ac:dyDescent="0.45">
      <c r="B29" s="114"/>
      <c r="C29" s="114"/>
      <c r="D29" s="125"/>
      <c r="E29" s="113" t="str">
        <f>+IFERROR(VLOOKUP(D29,Tipos!C:D,2,0)," ")</f>
        <v xml:space="preserve"> </v>
      </c>
      <c r="F29" s="113" t="str">
        <f>IFERROR(+VLOOKUP(D29,Tipos!C:E,3,0)," ")</f>
        <v xml:space="preserve"> </v>
      </c>
      <c r="G29" s="299"/>
      <c r="H29" s="299"/>
      <c r="I29" s="299"/>
      <c r="J29" s="299"/>
      <c r="K29" s="118"/>
      <c r="L29" s="114"/>
      <c r="M29" s="115"/>
      <c r="N29" s="114"/>
      <c r="O29" s="114"/>
      <c r="P29" s="302" t="s">
        <v>234</v>
      </c>
      <c r="Q29" s="317"/>
      <c r="R29" s="114"/>
    </row>
    <row r="30" spans="2:19" x14ac:dyDescent="0.45">
      <c r="B30" s="114"/>
      <c r="C30" s="114"/>
      <c r="D30" s="125"/>
      <c r="E30" s="113" t="str">
        <f>+IFERROR(VLOOKUP(D30,Tipos!C:D,2,0)," ")</f>
        <v xml:space="preserve"> </v>
      </c>
      <c r="F30" s="113" t="str">
        <f>IFERROR(+VLOOKUP(D30,Tipos!C:E,3,0)," ")</f>
        <v xml:space="preserve"> </v>
      </c>
      <c r="G30" s="299"/>
      <c r="H30" s="299"/>
      <c r="I30" s="299"/>
      <c r="J30" s="299"/>
      <c r="K30" s="118"/>
      <c r="L30" s="114"/>
      <c r="M30" s="115"/>
      <c r="N30" s="114"/>
      <c r="O30" s="114"/>
      <c r="P30" s="301"/>
      <c r="Q30" s="316"/>
      <c r="R30" s="114"/>
    </row>
    <row r="31" spans="2:19" x14ac:dyDescent="0.45">
      <c r="B31" s="114"/>
      <c r="C31" s="114"/>
      <c r="D31" s="125"/>
      <c r="E31" s="113" t="str">
        <f>+IFERROR(VLOOKUP(D31,Tipos!C:D,2,0)," ")</f>
        <v xml:space="preserve"> </v>
      </c>
      <c r="F31" s="113" t="str">
        <f>IFERROR(+VLOOKUP(D31,Tipos!C:E,3,0)," ")</f>
        <v xml:space="preserve"> </v>
      </c>
      <c r="G31" s="299"/>
      <c r="H31" s="299"/>
      <c r="I31" s="299"/>
      <c r="J31" s="299"/>
      <c r="K31" s="118"/>
      <c r="L31" s="114"/>
      <c r="M31" s="115"/>
      <c r="N31" s="114"/>
      <c r="O31" s="114"/>
      <c r="P31" s="119"/>
      <c r="Q31" s="123"/>
      <c r="R31" s="114"/>
    </row>
    <row r="32" spans="2:19" x14ac:dyDescent="0.45">
      <c r="B32" s="114"/>
      <c r="C32" s="114"/>
      <c r="D32" s="125"/>
      <c r="E32" s="113" t="str">
        <f>+IFERROR(VLOOKUP(D32,Tipos!C:D,2,0)," ")</f>
        <v xml:space="preserve"> </v>
      </c>
      <c r="F32" s="113" t="str">
        <f>IFERROR(+VLOOKUP(D32,Tipos!C:E,3,0)," ")</f>
        <v xml:space="preserve"> </v>
      </c>
      <c r="G32" s="299"/>
      <c r="H32" s="299"/>
      <c r="I32" s="299"/>
      <c r="J32" s="299"/>
      <c r="K32" s="118"/>
      <c r="L32" s="114"/>
      <c r="M32" s="115"/>
      <c r="N32" s="114"/>
      <c r="O32" s="114"/>
      <c r="P32" s="119"/>
      <c r="Q32" s="123"/>
      <c r="R32" s="114"/>
    </row>
    <row r="33" spans="2:18" x14ac:dyDescent="0.45">
      <c r="B33" s="114"/>
      <c r="C33" s="114"/>
      <c r="D33" s="125"/>
      <c r="E33" s="113" t="str">
        <f>+IFERROR(VLOOKUP(D33,Tipos!C:D,2,0)," ")</f>
        <v xml:space="preserve"> </v>
      </c>
      <c r="F33" s="113" t="str">
        <f>IFERROR(+VLOOKUP(D33,Tipos!C:E,3,0)," ")</f>
        <v xml:space="preserve"> </v>
      </c>
      <c r="G33" s="299"/>
      <c r="H33" s="299"/>
      <c r="I33" s="299"/>
      <c r="J33" s="299"/>
      <c r="K33" s="118"/>
      <c r="L33" s="114"/>
      <c r="M33" s="115"/>
      <c r="N33" s="114"/>
      <c r="O33" s="114"/>
      <c r="P33" s="302" t="s">
        <v>234</v>
      </c>
      <c r="Q33" s="317"/>
      <c r="R33" s="114"/>
    </row>
    <row r="34" spans="2:18" x14ac:dyDescent="0.45">
      <c r="B34" s="114"/>
      <c r="C34" s="114"/>
      <c r="D34" s="125"/>
      <c r="E34" s="113" t="str">
        <f>+IFERROR(VLOOKUP(D34,Tipos!C:D,2,0)," ")</f>
        <v xml:space="preserve"> </v>
      </c>
      <c r="F34" s="113" t="str">
        <f>IFERROR(+VLOOKUP(D34,Tipos!C:E,3,0)," ")</f>
        <v xml:space="preserve"> </v>
      </c>
      <c r="G34" s="299"/>
      <c r="H34" s="299"/>
      <c r="I34" s="299"/>
      <c r="J34" s="299"/>
      <c r="K34" s="118"/>
      <c r="L34" s="114"/>
      <c r="M34" s="115"/>
      <c r="N34" s="114"/>
      <c r="O34" s="114"/>
      <c r="P34" s="301"/>
      <c r="Q34" s="316"/>
      <c r="R34" s="114"/>
    </row>
    <row r="35" spans="2:18" x14ac:dyDescent="0.45">
      <c r="B35" s="114"/>
      <c r="C35" s="114"/>
      <c r="D35" s="125"/>
      <c r="E35" s="113" t="str">
        <f>+IFERROR(VLOOKUP(D35,Tipos!C:D,2,0)," ")</f>
        <v xml:space="preserve"> </v>
      </c>
      <c r="F35" s="113" t="str">
        <f>IFERROR(+VLOOKUP(D35,Tipos!C:E,3,0)," ")</f>
        <v xml:space="preserve"> </v>
      </c>
      <c r="G35" s="299"/>
      <c r="H35" s="299"/>
      <c r="I35" s="299"/>
      <c r="J35" s="299"/>
      <c r="K35" s="118"/>
      <c r="L35" s="114"/>
      <c r="M35" s="115"/>
      <c r="N35" s="114"/>
      <c r="O35" s="114"/>
      <c r="P35" s="119"/>
      <c r="Q35" s="123"/>
      <c r="R35" s="114"/>
    </row>
    <row r="36" spans="2:18" x14ac:dyDescent="0.45">
      <c r="B36" s="114"/>
      <c r="C36" s="114"/>
      <c r="D36" s="125"/>
      <c r="E36" s="113" t="str">
        <f>+IFERROR(VLOOKUP(D36,Tipos!C:D,2,0)," ")</f>
        <v xml:space="preserve"> </v>
      </c>
      <c r="F36" s="113" t="str">
        <f>IFERROR(+VLOOKUP(D36,Tipos!C:E,3,0)," ")</f>
        <v xml:space="preserve"> </v>
      </c>
      <c r="G36" s="299"/>
      <c r="H36" s="299"/>
      <c r="I36" s="299"/>
      <c r="J36" s="299"/>
      <c r="K36" s="118"/>
      <c r="L36" s="114"/>
      <c r="M36" s="115"/>
      <c r="N36" s="114"/>
      <c r="O36" s="114"/>
      <c r="P36" s="119"/>
      <c r="Q36" s="123"/>
      <c r="R36" s="114"/>
    </row>
    <row r="37" spans="2:18" x14ac:dyDescent="0.45">
      <c r="B37" s="114"/>
      <c r="C37" s="114"/>
      <c r="D37" s="125"/>
      <c r="E37" s="113" t="str">
        <f>+IFERROR(VLOOKUP(D37,Tipos!C:D,2,0)," ")</f>
        <v xml:space="preserve"> </v>
      </c>
      <c r="F37" s="113" t="str">
        <f>IFERROR(+VLOOKUP(D37,Tipos!C:E,3,0)," ")</f>
        <v xml:space="preserve"> </v>
      </c>
      <c r="G37" s="299"/>
      <c r="H37" s="299"/>
      <c r="I37" s="299"/>
      <c r="J37" s="299"/>
      <c r="K37" s="118"/>
      <c r="L37" s="114"/>
      <c r="M37" s="115"/>
      <c r="N37" s="114"/>
      <c r="O37" s="114"/>
      <c r="P37" s="302" t="s">
        <v>234</v>
      </c>
      <c r="Q37" s="317"/>
      <c r="R37" s="114"/>
    </row>
    <row r="38" spans="2:18" ht="14.65" thickBot="1" x14ac:dyDescent="0.5">
      <c r="B38" s="114"/>
      <c r="C38" s="114"/>
      <c r="D38" s="125"/>
      <c r="E38" s="113" t="str">
        <f>+IFERROR(VLOOKUP(D38,Tipos!C:D,2,0)," ")</f>
        <v xml:space="preserve"> </v>
      </c>
      <c r="F38" s="113" t="str">
        <f>IFERROR(+VLOOKUP(D38,Tipos!C:E,3,0)," ")</f>
        <v xml:space="preserve"> </v>
      </c>
      <c r="G38" s="299"/>
      <c r="H38" s="299"/>
      <c r="I38" s="299"/>
      <c r="J38" s="299"/>
      <c r="K38" s="118"/>
      <c r="L38" s="114"/>
      <c r="M38" s="120"/>
      <c r="N38" s="121"/>
      <c r="O38" s="121"/>
      <c r="P38" s="313"/>
      <c r="Q38" s="314"/>
      <c r="R38" s="114"/>
    </row>
    <row r="39" spans="2:18" x14ac:dyDescent="0.45">
      <c r="B39" s="114"/>
      <c r="C39" s="114"/>
      <c r="D39" s="125"/>
      <c r="E39" s="113" t="str">
        <f>+IFERROR(VLOOKUP(D39,Tipos!C:D,2,0)," ")</f>
        <v xml:space="preserve"> </v>
      </c>
      <c r="F39" s="113" t="str">
        <f>IFERROR(+VLOOKUP(D39,Tipos!C:E,3,0)," ")</f>
        <v xml:space="preserve"> </v>
      </c>
      <c r="G39" s="299"/>
      <c r="H39" s="299"/>
      <c r="I39" s="299"/>
      <c r="J39" s="299"/>
      <c r="K39" s="118"/>
      <c r="L39" s="114"/>
      <c r="M39" s="114"/>
      <c r="N39" s="114"/>
      <c r="O39" s="114"/>
      <c r="P39" s="119"/>
      <c r="Q39" s="119"/>
      <c r="R39" s="114"/>
    </row>
    <row r="40" spans="2:18" x14ac:dyDescent="0.45">
      <c r="B40" s="114"/>
      <c r="C40" s="114"/>
      <c r="D40" s="125"/>
      <c r="E40" s="113" t="str">
        <f>+IFERROR(VLOOKUP(D40,Tipos!C:D,2,0)," ")</f>
        <v xml:space="preserve"> </v>
      </c>
      <c r="F40" s="113" t="str">
        <f>IFERROR(+VLOOKUP(D40,Tipos!C:E,3,0)," ")</f>
        <v xml:space="preserve"> </v>
      </c>
      <c r="G40" s="299"/>
      <c r="H40" s="299"/>
      <c r="I40" s="299"/>
      <c r="J40" s="299"/>
      <c r="K40" s="118"/>
      <c r="L40" s="114"/>
      <c r="M40" s="114"/>
      <c r="N40" s="114"/>
      <c r="O40" s="114"/>
      <c r="P40" s="119"/>
      <c r="Q40" s="119"/>
      <c r="R40" s="114"/>
    </row>
    <row r="41" spans="2:18" x14ac:dyDescent="0.45">
      <c r="B41" s="114"/>
      <c r="C41" s="114"/>
      <c r="D41" s="125"/>
      <c r="E41" s="113" t="str">
        <f>+IFERROR(VLOOKUP(D41,Tipos!C:D,2,0)," ")</f>
        <v xml:space="preserve"> </v>
      </c>
      <c r="F41" s="113" t="str">
        <f>IFERROR(+VLOOKUP(D41,Tipos!C:E,3,0)," ")</f>
        <v xml:space="preserve"> </v>
      </c>
      <c r="G41" s="299"/>
      <c r="H41" s="299"/>
      <c r="I41" s="299"/>
      <c r="J41" s="299"/>
      <c r="K41" s="118"/>
      <c r="L41" s="114"/>
      <c r="M41" s="114"/>
      <c r="N41" s="114"/>
      <c r="O41" s="114"/>
      <c r="P41" s="114"/>
      <c r="Q41" s="114"/>
      <c r="R41" s="114"/>
    </row>
    <row r="42" spans="2:18" x14ac:dyDescent="0.45">
      <c r="B42" s="114"/>
      <c r="C42" s="114"/>
      <c r="D42" s="125"/>
      <c r="E42" s="113" t="str">
        <f>+IFERROR(VLOOKUP(D42,Tipos!C:D,2,0)," ")</f>
        <v xml:space="preserve"> </v>
      </c>
      <c r="F42" s="113" t="str">
        <f>IFERROR(+VLOOKUP(D42,Tipos!C:E,3,0)," ")</f>
        <v xml:space="preserve"> </v>
      </c>
      <c r="G42" s="299"/>
      <c r="H42" s="299"/>
      <c r="I42" s="299"/>
      <c r="J42" s="299"/>
      <c r="K42" s="118"/>
      <c r="L42" s="114"/>
      <c r="M42" s="114"/>
      <c r="N42" s="114"/>
      <c r="O42" s="114"/>
      <c r="P42" s="114"/>
      <c r="Q42" s="114"/>
      <c r="R42" s="114"/>
    </row>
    <row r="43" spans="2:18" x14ac:dyDescent="0.45">
      <c r="B43" s="114"/>
      <c r="C43" s="114"/>
      <c r="D43" s="125"/>
      <c r="E43" s="113" t="str">
        <f>+IFERROR(VLOOKUP(D43,Tipos!C:D,2,0)," ")</f>
        <v xml:space="preserve"> </v>
      </c>
      <c r="F43" s="113" t="str">
        <f>IFERROR(+VLOOKUP(D43,Tipos!C:E,3,0)," ")</f>
        <v xml:space="preserve"> </v>
      </c>
      <c r="G43" s="299"/>
      <c r="H43" s="299"/>
      <c r="I43" s="299"/>
      <c r="J43" s="299"/>
      <c r="K43" s="118"/>
      <c r="L43" s="114"/>
      <c r="M43" s="114"/>
      <c r="N43" s="114"/>
      <c r="O43" s="114"/>
      <c r="P43" s="114"/>
      <c r="Q43" s="114"/>
      <c r="R43" s="114"/>
    </row>
    <row r="44" spans="2:18" x14ac:dyDescent="0.45">
      <c r="B44" s="114"/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</row>
    <row r="45" spans="2:18" x14ac:dyDescent="0.45">
      <c r="B45" s="114"/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</row>
    <row r="46" spans="2:18" x14ac:dyDescent="0.45">
      <c r="B46" s="114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</row>
    <row r="47" spans="2:18" x14ac:dyDescent="0.45">
      <c r="B47" s="114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</row>
    <row r="48" spans="2:18" x14ac:dyDescent="0.45">
      <c r="B48" s="114"/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</row>
    <row r="49" spans="2:18" x14ac:dyDescent="0.45">
      <c r="B49" s="114"/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</row>
    <row r="50" spans="2:18" x14ac:dyDescent="0.45">
      <c r="B50" s="114"/>
      <c r="C50" s="114"/>
      <c r="D50" s="114"/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/>
    </row>
    <row r="51" spans="2:18" x14ac:dyDescent="0.45">
      <c r="B51" s="114"/>
      <c r="C51" s="114"/>
      <c r="D51" s="114"/>
      <c r="E51" s="1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114"/>
    </row>
    <row r="52" spans="2:18" x14ac:dyDescent="0.45">
      <c r="B52" s="114"/>
      <c r="C52" s="114"/>
      <c r="D52" s="114"/>
      <c r="E52" s="114"/>
      <c r="F52" s="114"/>
      <c r="G52" s="114"/>
      <c r="H52" s="114"/>
      <c r="I52" s="114"/>
      <c r="J52" s="114"/>
      <c r="K52" s="114"/>
      <c r="L52" s="114"/>
      <c r="M52" s="114"/>
      <c r="N52" s="114"/>
      <c r="O52" s="114"/>
      <c r="P52" s="114"/>
      <c r="Q52" s="114"/>
      <c r="R52" s="114"/>
    </row>
    <row r="53" spans="2:18" ht="17.25" x14ac:dyDescent="0.45">
      <c r="B53" s="114"/>
      <c r="C53" s="114"/>
      <c r="D53" s="114"/>
      <c r="E53" s="300"/>
      <c r="F53" s="300"/>
      <c r="G53" s="300"/>
      <c r="H53" s="114"/>
      <c r="I53" s="300"/>
      <c r="J53" s="300"/>
      <c r="K53" s="300"/>
      <c r="L53" s="114"/>
      <c r="M53" s="114"/>
      <c r="N53" s="114"/>
      <c r="O53" s="114"/>
      <c r="P53" s="114"/>
      <c r="Q53" s="114"/>
      <c r="R53" s="114"/>
    </row>
    <row r="54" spans="2:18" x14ac:dyDescent="0.45"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</row>
    <row r="55" spans="2:18" x14ac:dyDescent="0.45">
      <c r="B55" s="114"/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</row>
  </sheetData>
  <sheetProtection selectLockedCells="1"/>
  <mergeCells count="56">
    <mergeCell ref="M11:N11"/>
    <mergeCell ref="M14:N14"/>
    <mergeCell ref="O13:P13"/>
    <mergeCell ref="O14:P14"/>
    <mergeCell ref="G38:J38"/>
    <mergeCell ref="G16:J16"/>
    <mergeCell ref="P29:Q29"/>
    <mergeCell ref="G32:J32"/>
    <mergeCell ref="G26:J26"/>
    <mergeCell ref="G25:J25"/>
    <mergeCell ref="G24:J24"/>
    <mergeCell ref="G20:J20"/>
    <mergeCell ref="G17:J17"/>
    <mergeCell ref="G31:J31"/>
    <mergeCell ref="G19:J19"/>
    <mergeCell ref="G18:J18"/>
    <mergeCell ref="G39:J39"/>
    <mergeCell ref="G40:J40"/>
    <mergeCell ref="G33:J33"/>
    <mergeCell ref="G34:J34"/>
    <mergeCell ref="G35:J35"/>
    <mergeCell ref="G36:J36"/>
    <mergeCell ref="G37:J37"/>
    <mergeCell ref="G9:J9"/>
    <mergeCell ref="G10:J10"/>
    <mergeCell ref="G15:J15"/>
    <mergeCell ref="G13:J13"/>
    <mergeCell ref="G14:J14"/>
    <mergeCell ref="G11:J11"/>
    <mergeCell ref="G12:J12"/>
    <mergeCell ref="M5:Q7"/>
    <mergeCell ref="M24:Q26"/>
    <mergeCell ref="P38:Q38"/>
    <mergeCell ref="O23:P23"/>
    <mergeCell ref="G23:J23"/>
    <mergeCell ref="P30:Q30"/>
    <mergeCell ref="P33:Q33"/>
    <mergeCell ref="P34:Q34"/>
    <mergeCell ref="P37:Q37"/>
    <mergeCell ref="G21:J21"/>
    <mergeCell ref="G22:J22"/>
    <mergeCell ref="G27:J27"/>
    <mergeCell ref="G28:J28"/>
    <mergeCell ref="G29:J29"/>
    <mergeCell ref="G30:J30"/>
    <mergeCell ref="O22:P22"/>
    <mergeCell ref="O17:P17"/>
    <mergeCell ref="O16:P16"/>
    <mergeCell ref="O18:P18"/>
    <mergeCell ref="O19:P19"/>
    <mergeCell ref="O20:P20"/>
    <mergeCell ref="G41:J41"/>
    <mergeCell ref="G42:J42"/>
    <mergeCell ref="G43:J43"/>
    <mergeCell ref="E53:G53"/>
    <mergeCell ref="I53:K5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Check Box 5">
              <controlPr defaultSize="0" autoFill="0" autoLine="0" autoPict="0">
                <anchor moveWithCells="1">
                  <from>
                    <xdr:col>12</xdr:col>
                    <xdr:colOff>57150</xdr:colOff>
                    <xdr:row>7</xdr:row>
                    <xdr:rowOff>57150</xdr:rowOff>
                  </from>
                  <to>
                    <xdr:col>13</xdr:col>
                    <xdr:colOff>585788</xdr:colOff>
                    <xdr:row>8</xdr:row>
                    <xdr:rowOff>119063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Check Box 6">
              <controlPr defaultSize="0" autoFill="0" autoLine="0" autoPict="0">
                <anchor moveWithCells="1">
                  <from>
                    <xdr:col>12</xdr:col>
                    <xdr:colOff>42863</xdr:colOff>
                    <xdr:row>14</xdr:row>
                    <xdr:rowOff>171450</xdr:rowOff>
                  </from>
                  <to>
                    <xdr:col>13</xdr:col>
                    <xdr:colOff>571500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Check Box 7">
              <controlPr defaultSize="0" autoFill="0" autoLine="0" autoPict="0">
                <anchor moveWithCells="1">
                  <from>
                    <xdr:col>12</xdr:col>
                    <xdr:colOff>19050</xdr:colOff>
                    <xdr:row>17</xdr:row>
                    <xdr:rowOff>119063</xdr:rowOff>
                  </from>
                  <to>
                    <xdr:col>13</xdr:col>
                    <xdr:colOff>762000</xdr:colOff>
                    <xdr:row>19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Check Box 8">
              <controlPr defaultSize="0" autoFill="0" autoLine="0" autoPict="0">
                <anchor moveWithCells="1">
                  <from>
                    <xdr:col>12</xdr:col>
                    <xdr:colOff>42863</xdr:colOff>
                    <xdr:row>20</xdr:row>
                    <xdr:rowOff>133350</xdr:rowOff>
                  </from>
                  <to>
                    <xdr:col>13</xdr:col>
                    <xdr:colOff>571500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" name="Check Box 10">
              <controlPr defaultSize="0" autoFill="0" autoLine="0" autoPict="0" macro="[1]!BtnNada">
                <anchor moveWithCells="1">
                  <from>
                    <xdr:col>12</xdr:col>
                    <xdr:colOff>33338</xdr:colOff>
                    <xdr:row>28</xdr:row>
                    <xdr:rowOff>71438</xdr:rowOff>
                  </from>
                  <to>
                    <xdr:col>14</xdr:col>
                    <xdr:colOff>733425</xdr:colOff>
                    <xdr:row>29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eck Box 11">
              <controlPr defaultSize="0" autoFill="0" autoLine="0" autoPict="0" macro="[1]!BtnNada">
                <anchor moveWithCells="1">
                  <from>
                    <xdr:col>12</xdr:col>
                    <xdr:colOff>23813</xdr:colOff>
                    <xdr:row>32</xdr:row>
                    <xdr:rowOff>23813</xdr:rowOff>
                  </from>
                  <to>
                    <xdr:col>13</xdr:col>
                    <xdr:colOff>547688</xdr:colOff>
                    <xdr:row>33</xdr:row>
                    <xdr:rowOff>90488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Check Box 12">
              <controlPr defaultSize="0" autoFill="0" autoLine="0" autoPict="0" macro="[1]!BtnNada">
                <anchor moveWithCells="1">
                  <from>
                    <xdr:col>12</xdr:col>
                    <xdr:colOff>4763</xdr:colOff>
                    <xdr:row>35</xdr:row>
                    <xdr:rowOff>133350</xdr:rowOff>
                  </from>
                  <to>
                    <xdr:col>13</xdr:col>
                    <xdr:colOff>762000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1" name="Check Box 16">
              <controlPr defaultSize="0" autoFill="0" autoLine="0" autoPict="0">
                <anchor moveWithCells="1">
                  <from>
                    <xdr:col>13</xdr:col>
                    <xdr:colOff>633413</xdr:colOff>
                    <xdr:row>7</xdr:row>
                    <xdr:rowOff>42863</xdr:rowOff>
                  </from>
                  <to>
                    <xdr:col>16</xdr:col>
                    <xdr:colOff>742950</xdr:colOff>
                    <xdr:row>8</xdr:row>
                    <xdr:rowOff>147638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CDB5C81-A39A-4269-B2A2-569FFE446EED}">
          <x14:formula1>
            <xm:f>Tipos!$C$2:$C$35</xm:f>
          </x14:formula1>
          <xm:sqref>D42:D43 D10:D40</xm:sqref>
        </x14:dataValidation>
        <x14:dataValidation type="list" allowBlank="1" showInputMessage="1" showErrorMessage="1" xr:uid="{9039A6FB-B240-4DD5-A54B-A0A79C027124}">
          <x14:formula1>
            <xm:f>Tipos!$N$2:$N$5</xm:f>
          </x14:formula1>
          <xm:sqref>T13 O11:O12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C5E9-C397-4589-9D87-0580047AF462}">
  <sheetPr codeName="Hoja1"/>
  <dimension ref="A1:H35"/>
  <sheetViews>
    <sheetView showGridLines="0" tabSelected="1" zoomScale="79" zoomScaleNormal="100" workbookViewId="0">
      <selection activeCell="D12" sqref="D12"/>
    </sheetView>
  </sheetViews>
  <sheetFormatPr baseColWidth="10" defaultRowHeight="14.25" x14ac:dyDescent="0.45"/>
  <cols>
    <col min="1" max="1" width="10.6640625" style="290"/>
    <col min="2" max="2" width="42.33203125" style="291" bestFit="1" customWidth="1"/>
    <col min="3" max="3" width="32.53125" style="290" customWidth="1"/>
    <col min="4" max="16384" width="10.6640625" style="290"/>
  </cols>
  <sheetData>
    <row r="1" spans="1:8" s="289" customFormat="1" x14ac:dyDescent="0.45">
      <c r="A1" s="114"/>
      <c r="B1" s="223"/>
      <c r="C1" s="114"/>
      <c r="D1" s="114"/>
      <c r="E1" s="114"/>
      <c r="F1" s="114"/>
      <c r="G1" s="114"/>
      <c r="H1" s="114"/>
    </row>
    <row r="2" spans="1:8" s="289" customFormat="1" x14ac:dyDescent="0.45">
      <c r="A2" s="114"/>
      <c r="B2" s="223"/>
      <c r="C2" s="114"/>
      <c r="D2" s="114"/>
      <c r="E2" s="114"/>
      <c r="F2" s="114"/>
      <c r="G2" s="114"/>
      <c r="H2" s="114"/>
    </row>
    <row r="3" spans="1:8" s="289" customFormat="1" x14ac:dyDescent="0.45">
      <c r="A3" s="114"/>
      <c r="B3" s="223"/>
      <c r="C3" s="114"/>
      <c r="D3" s="114"/>
      <c r="E3" s="114"/>
      <c r="F3" s="114"/>
      <c r="G3" s="114"/>
      <c r="H3" s="114"/>
    </row>
    <row r="4" spans="1:8" s="289" customFormat="1" x14ac:dyDescent="0.45">
      <c r="A4" s="114"/>
      <c r="B4" s="223"/>
      <c r="C4" s="114"/>
      <c r="D4" s="114"/>
      <c r="E4" s="114"/>
      <c r="F4" s="114"/>
      <c r="G4" s="114"/>
      <c r="H4" s="114"/>
    </row>
    <row r="5" spans="1:8" s="289" customFormat="1" x14ac:dyDescent="0.45">
      <c r="A5" s="114"/>
      <c r="B5" s="223"/>
      <c r="C5" s="114"/>
      <c r="D5" s="114"/>
      <c r="E5" s="114"/>
      <c r="F5" s="114"/>
      <c r="G5" s="114"/>
      <c r="H5" s="114"/>
    </row>
    <row r="6" spans="1:8" s="289" customFormat="1" x14ac:dyDescent="0.45">
      <c r="A6" s="114"/>
      <c r="B6" s="223"/>
      <c r="C6" s="114"/>
      <c r="D6" s="114"/>
      <c r="E6" s="114"/>
      <c r="F6" s="114"/>
      <c r="G6" s="114"/>
      <c r="H6" s="114"/>
    </row>
    <row r="7" spans="1:8" s="289" customFormat="1" x14ac:dyDescent="0.45">
      <c r="A7" s="114"/>
      <c r="B7" s="224" t="s">
        <v>0</v>
      </c>
      <c r="C7" s="225"/>
      <c r="D7" s="114"/>
      <c r="E7" s="114"/>
      <c r="F7" s="114"/>
      <c r="G7" s="114"/>
      <c r="H7" s="114"/>
    </row>
    <row r="8" spans="1:8" s="289" customFormat="1" x14ac:dyDescent="0.45">
      <c r="A8" s="114"/>
      <c r="B8" s="223"/>
      <c r="C8" s="114"/>
      <c r="D8" s="114"/>
      <c r="E8" s="114"/>
      <c r="F8" s="114"/>
      <c r="G8" s="114"/>
      <c r="H8" s="114"/>
    </row>
    <row r="9" spans="1:8" s="289" customFormat="1" x14ac:dyDescent="0.45">
      <c r="A9" s="114"/>
      <c r="B9" s="224" t="s">
        <v>1</v>
      </c>
      <c r="C9" s="323"/>
      <c r="D9" s="324"/>
      <c r="E9" s="324"/>
      <c r="F9" s="325"/>
      <c r="G9" s="114"/>
      <c r="H9" s="114"/>
    </row>
    <row r="10" spans="1:8" s="289" customFormat="1" x14ac:dyDescent="0.45">
      <c r="A10" s="114"/>
      <c r="B10" s="223"/>
      <c r="C10" s="114"/>
      <c r="D10" s="114"/>
      <c r="E10" s="114"/>
      <c r="F10" s="114"/>
      <c r="G10" s="114"/>
      <c r="H10" s="114"/>
    </row>
    <row r="11" spans="1:8" s="289" customFormat="1" x14ac:dyDescent="0.45">
      <c r="A11" s="114"/>
      <c r="B11" s="224" t="s">
        <v>2</v>
      </c>
      <c r="C11" s="225" t="s">
        <v>60</v>
      </c>
      <c r="D11" s="114"/>
      <c r="E11" s="114"/>
      <c r="F11" s="114"/>
      <c r="G11" s="114"/>
      <c r="H11" s="114"/>
    </row>
    <row r="12" spans="1:8" s="289" customFormat="1" x14ac:dyDescent="0.45">
      <c r="A12" s="114"/>
      <c r="B12" s="223"/>
      <c r="C12" s="114"/>
      <c r="D12" s="114"/>
      <c r="E12" s="114"/>
      <c r="F12" s="114"/>
      <c r="G12" s="114"/>
      <c r="H12" s="114"/>
    </row>
    <row r="13" spans="1:8" s="289" customFormat="1" x14ac:dyDescent="0.45">
      <c r="A13" s="114"/>
      <c r="B13" s="224" t="s">
        <v>94</v>
      </c>
      <c r="C13" s="226" t="s">
        <v>564</v>
      </c>
      <c r="D13" s="114"/>
      <c r="E13" s="114"/>
      <c r="F13" s="114"/>
      <c r="G13" s="114"/>
      <c r="H13" s="114"/>
    </row>
    <row r="14" spans="1:8" s="289" customFormat="1" x14ac:dyDescent="0.45">
      <c r="A14" s="114"/>
      <c r="B14" s="223"/>
      <c r="C14" s="114"/>
      <c r="D14" s="114"/>
      <c r="E14" s="114"/>
      <c r="F14" s="114"/>
      <c r="G14" s="114"/>
      <c r="H14" s="114"/>
    </row>
    <row r="15" spans="1:8" s="289" customFormat="1" x14ac:dyDescent="0.45">
      <c r="A15" s="114"/>
      <c r="B15" s="224" t="s">
        <v>406</v>
      </c>
      <c r="C15" s="125" t="s">
        <v>408</v>
      </c>
      <c r="D15" s="114"/>
      <c r="E15" s="114"/>
      <c r="F15" s="114"/>
      <c r="G15" s="114"/>
      <c r="H15" s="114"/>
    </row>
    <row r="16" spans="1:8" s="289" customFormat="1" x14ac:dyDescent="0.45">
      <c r="A16" s="114"/>
      <c r="B16" s="227"/>
      <c r="C16" s="114"/>
      <c r="D16" s="114"/>
      <c r="E16" s="114"/>
      <c r="F16" s="114"/>
      <c r="G16" s="114"/>
      <c r="H16" s="114"/>
    </row>
    <row r="17" spans="1:8" s="289" customFormat="1" x14ac:dyDescent="0.45">
      <c r="A17" s="114"/>
      <c r="B17" s="224" t="s">
        <v>380</v>
      </c>
      <c r="C17" s="228">
        <v>0</v>
      </c>
      <c r="D17" s="114"/>
      <c r="E17" s="114"/>
      <c r="F17" s="114"/>
      <c r="G17" s="114"/>
      <c r="H17" s="114"/>
    </row>
    <row r="18" spans="1:8" s="289" customFormat="1" x14ac:dyDescent="0.45">
      <c r="A18" s="114"/>
      <c r="B18" s="227"/>
      <c r="C18" s="114"/>
      <c r="D18" s="114"/>
      <c r="E18" s="114"/>
      <c r="F18" s="114"/>
      <c r="G18" s="114"/>
      <c r="H18" s="114"/>
    </row>
    <row r="19" spans="1:8" s="289" customFormat="1" x14ac:dyDescent="0.45">
      <c r="A19" s="114"/>
      <c r="B19" s="224" t="s">
        <v>381</v>
      </c>
      <c r="C19" s="228">
        <v>0</v>
      </c>
      <c r="D19" s="114"/>
      <c r="E19" s="114"/>
      <c r="F19" s="114"/>
      <c r="G19" s="114"/>
      <c r="H19" s="114"/>
    </row>
    <row r="20" spans="1:8" s="289" customFormat="1" x14ac:dyDescent="0.45">
      <c r="A20" s="114"/>
      <c r="B20" s="223"/>
      <c r="C20" s="114"/>
      <c r="D20" s="114"/>
      <c r="E20" s="114"/>
      <c r="F20" s="114"/>
      <c r="G20" s="114"/>
      <c r="H20" s="114"/>
    </row>
    <row r="21" spans="1:8" s="289" customFormat="1" x14ac:dyDescent="0.45">
      <c r="A21" s="114"/>
      <c r="B21" s="224" t="s">
        <v>382</v>
      </c>
      <c r="C21" s="228">
        <v>0</v>
      </c>
      <c r="D21" s="114"/>
      <c r="E21" s="114"/>
      <c r="F21" s="114"/>
      <c r="G21" s="114"/>
      <c r="H21" s="114"/>
    </row>
    <row r="22" spans="1:8" s="289" customFormat="1" x14ac:dyDescent="0.45">
      <c r="A22" s="114"/>
      <c r="B22" s="223"/>
      <c r="C22" s="114"/>
      <c r="D22" s="114"/>
      <c r="E22" s="114"/>
      <c r="F22" s="114"/>
      <c r="G22" s="114"/>
      <c r="H22" s="114"/>
    </row>
    <row r="23" spans="1:8" s="289" customFormat="1" x14ac:dyDescent="0.45">
      <c r="A23" s="114"/>
      <c r="B23" s="224" t="s">
        <v>383</v>
      </c>
      <c r="C23" s="228">
        <v>0</v>
      </c>
      <c r="D23" s="114"/>
      <c r="E23" s="114"/>
      <c r="F23" s="114"/>
      <c r="G23" s="114"/>
      <c r="H23" s="114"/>
    </row>
    <row r="24" spans="1:8" s="289" customFormat="1" x14ac:dyDescent="0.45">
      <c r="A24" s="114"/>
      <c r="B24" s="223"/>
      <c r="C24" s="114"/>
      <c r="D24" s="114"/>
      <c r="E24" s="114"/>
      <c r="F24" s="114"/>
      <c r="G24" s="114"/>
      <c r="H24" s="114"/>
    </row>
    <row r="25" spans="1:8" s="289" customFormat="1" x14ac:dyDescent="0.45">
      <c r="A25" s="114"/>
      <c r="B25" s="224" t="s">
        <v>384</v>
      </c>
      <c r="C25" s="228">
        <v>0</v>
      </c>
      <c r="D25" s="114"/>
      <c r="E25" s="114"/>
      <c r="F25" s="114"/>
      <c r="G25" s="114"/>
      <c r="H25" s="114"/>
    </row>
    <row r="26" spans="1:8" x14ac:dyDescent="0.45">
      <c r="A26"/>
      <c r="B26" s="229"/>
      <c r="C26"/>
      <c r="D26"/>
      <c r="E26"/>
      <c r="F26"/>
      <c r="G26"/>
      <c r="H26"/>
    </row>
    <row r="27" spans="1:8" x14ac:dyDescent="0.45">
      <c r="A27"/>
      <c r="B27" s="229"/>
      <c r="C27"/>
      <c r="D27"/>
      <c r="E27"/>
      <c r="F27"/>
      <c r="G27"/>
      <c r="H27"/>
    </row>
    <row r="28" spans="1:8" x14ac:dyDescent="0.45">
      <c r="A28"/>
      <c r="B28" s="229"/>
      <c r="C28"/>
      <c r="D28"/>
      <c r="E28"/>
      <c r="F28"/>
      <c r="G28"/>
      <c r="H28"/>
    </row>
    <row r="29" spans="1:8" x14ac:dyDescent="0.45">
      <c r="A29"/>
      <c r="B29" s="229"/>
      <c r="C29"/>
      <c r="D29"/>
      <c r="E29"/>
      <c r="F29"/>
      <c r="G29"/>
      <c r="H29"/>
    </row>
    <row r="30" spans="1:8" x14ac:dyDescent="0.45">
      <c r="A30"/>
      <c r="B30" s="229"/>
      <c r="C30"/>
      <c r="D30"/>
      <c r="E30"/>
      <c r="F30"/>
      <c r="G30"/>
      <c r="H30"/>
    </row>
    <row r="31" spans="1:8" x14ac:dyDescent="0.45">
      <c r="A31"/>
      <c r="B31" s="229"/>
      <c r="C31"/>
      <c r="D31"/>
      <c r="E31"/>
      <c r="F31"/>
      <c r="G31"/>
      <c r="H31"/>
    </row>
    <row r="32" spans="1:8" x14ac:dyDescent="0.45">
      <c r="A32"/>
      <c r="B32" s="229"/>
      <c r="C32"/>
      <c r="D32"/>
      <c r="E32"/>
      <c r="F32"/>
      <c r="G32"/>
      <c r="H32"/>
    </row>
    <row r="33" spans="1:8" x14ac:dyDescent="0.45">
      <c r="A33"/>
      <c r="B33" s="229"/>
      <c r="C33"/>
      <c r="D33"/>
      <c r="E33"/>
      <c r="F33"/>
      <c r="G33"/>
      <c r="H33"/>
    </row>
    <row r="34" spans="1:8" x14ac:dyDescent="0.45">
      <c r="A34"/>
      <c r="B34" s="229"/>
      <c r="C34"/>
      <c r="D34"/>
      <c r="E34"/>
      <c r="F34"/>
      <c r="G34"/>
      <c r="H34"/>
    </row>
    <row r="35" spans="1:8" x14ac:dyDescent="0.45">
      <c r="A35"/>
      <c r="B35" s="229"/>
      <c r="C35"/>
      <c r="D35"/>
      <c r="E35"/>
      <c r="F35"/>
      <c r="G35"/>
      <c r="H35"/>
    </row>
  </sheetData>
  <mergeCells count="1">
    <mergeCell ref="C9:F9"/>
  </mergeCells>
  <conditionalFormatting sqref="C17">
    <cfRule type="containsText" dxfId="7" priority="1" operator="containsText" text=" ">
      <formula>NOT(ISERROR(SEARCH(" ",C17)))</formula>
    </cfRule>
    <cfRule type="expression" dxfId="6" priority="2">
      <formula>$C$17=" "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50FF03-3D28-4EE5-AFC1-D1FF6291563C}">
          <x14:formula1>
            <xm:f>Seccionales!$B$2:$B$45</xm:f>
          </x14:formula1>
          <xm:sqref>C11</xm:sqref>
        </x14:dataValidation>
        <x14:dataValidation type="list" allowBlank="1" showInputMessage="1" showErrorMessage="1" xr:uid="{2DE79149-1313-4146-8539-9FBEC652FC1E}">
          <x14:formula1>
            <xm:f>Tipos!$L$2:$L$4</xm:f>
          </x14:formula1>
          <xm:sqref>C15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283E6-8B77-4F2E-BA42-8AA2EACCCFEC}">
  <sheetPr codeName="Hoja16"/>
  <dimension ref="A1:K58"/>
  <sheetViews>
    <sheetView showGridLines="0" workbookViewId="0">
      <selection activeCell="D12" sqref="D12"/>
    </sheetView>
  </sheetViews>
  <sheetFormatPr baseColWidth="10" defaultRowHeight="14.25" x14ac:dyDescent="0.45"/>
  <cols>
    <col min="1" max="1" width="15.1328125" customWidth="1"/>
    <col min="2" max="2" width="34.59765625" customWidth="1"/>
    <col min="3" max="3" width="15.6640625" customWidth="1"/>
    <col min="4" max="6" width="34.59765625" customWidth="1"/>
  </cols>
  <sheetData>
    <row r="1" spans="1:6" x14ac:dyDescent="0.45">
      <c r="A1" s="327" t="s">
        <v>559</v>
      </c>
      <c r="B1" s="328"/>
      <c r="C1" s="328"/>
      <c r="D1" s="328"/>
      <c r="E1" s="328"/>
      <c r="F1" s="328"/>
    </row>
    <row r="2" spans="1:6" x14ac:dyDescent="0.45">
      <c r="A2" s="328"/>
      <c r="B2" s="328"/>
      <c r="C2" s="328"/>
      <c r="D2" s="328"/>
      <c r="E2" s="328"/>
      <c r="F2" s="328"/>
    </row>
    <row r="3" spans="1:6" x14ac:dyDescent="0.45">
      <c r="A3" s="328"/>
      <c r="B3" s="328"/>
      <c r="C3" s="328"/>
      <c r="D3" s="328"/>
      <c r="E3" s="328"/>
      <c r="F3" s="328"/>
    </row>
    <row r="4" spans="1:6" x14ac:dyDescent="0.45">
      <c r="A4" s="328"/>
      <c r="B4" s="328"/>
      <c r="C4" s="328"/>
      <c r="D4" s="328"/>
      <c r="E4" s="328"/>
      <c r="F4" s="328"/>
    </row>
    <row r="5" spans="1:6" x14ac:dyDescent="0.45">
      <c r="A5" s="328"/>
      <c r="B5" s="328"/>
      <c r="C5" s="328"/>
      <c r="D5" s="328"/>
      <c r="E5" s="328"/>
      <c r="F5" s="328"/>
    </row>
    <row r="6" spans="1:6" x14ac:dyDescent="0.45">
      <c r="A6" s="328"/>
      <c r="B6" s="328"/>
      <c r="C6" s="328"/>
      <c r="D6" s="328"/>
      <c r="E6" s="328"/>
      <c r="F6" s="328"/>
    </row>
    <row r="7" spans="1:6" ht="26.25" x14ac:dyDescent="0.45">
      <c r="A7" s="267" t="s">
        <v>171</v>
      </c>
      <c r="B7" s="329" t="s">
        <v>549</v>
      </c>
      <c r="C7" s="329"/>
      <c r="D7" s="267" t="s">
        <v>550</v>
      </c>
      <c r="E7" s="267" t="s">
        <v>551</v>
      </c>
      <c r="F7" s="267" t="s">
        <v>134</v>
      </c>
    </row>
    <row r="8" spans="1:6" ht="25.5" customHeight="1" x14ac:dyDescent="0.45">
      <c r="A8" s="266"/>
      <c r="B8" s="326"/>
      <c r="C8" s="326"/>
      <c r="D8" s="266"/>
      <c r="E8" s="266"/>
      <c r="F8" s="265"/>
    </row>
    <row r="9" spans="1:6" x14ac:dyDescent="0.45">
      <c r="A9" s="266"/>
      <c r="B9" s="326"/>
      <c r="C9" s="326"/>
      <c r="D9" s="266"/>
      <c r="E9" s="266"/>
      <c r="F9" s="265"/>
    </row>
    <row r="10" spans="1:6" x14ac:dyDescent="0.45">
      <c r="A10" s="266"/>
      <c r="B10" s="326"/>
      <c r="C10" s="326"/>
      <c r="D10" s="266"/>
      <c r="E10" s="266"/>
      <c r="F10" s="265"/>
    </row>
    <row r="11" spans="1:6" x14ac:dyDescent="0.45">
      <c r="A11" s="266"/>
      <c r="B11" s="326"/>
      <c r="C11" s="326"/>
      <c r="D11" s="266"/>
      <c r="E11" s="266"/>
      <c r="F11" s="265"/>
    </row>
    <row r="12" spans="1:6" x14ac:dyDescent="0.45">
      <c r="A12" s="266"/>
      <c r="B12" s="326"/>
      <c r="C12" s="326"/>
      <c r="D12" s="266"/>
      <c r="E12" s="266"/>
      <c r="F12" s="265"/>
    </row>
    <row r="13" spans="1:6" x14ac:dyDescent="0.45">
      <c r="A13" s="266"/>
      <c r="B13" s="326"/>
      <c r="C13" s="326"/>
      <c r="D13" s="266"/>
      <c r="E13" s="266"/>
      <c r="F13" s="265"/>
    </row>
    <row r="14" spans="1:6" ht="14.25" customHeight="1" x14ac:dyDescent="0.45">
      <c r="A14" s="266"/>
      <c r="B14" s="326"/>
      <c r="C14" s="326"/>
      <c r="D14" s="266"/>
      <c r="E14" s="266"/>
      <c r="F14" s="265"/>
    </row>
    <row r="15" spans="1:6" x14ac:dyDescent="0.45">
      <c r="A15" s="266"/>
      <c r="B15" s="326"/>
      <c r="C15" s="326"/>
      <c r="D15" s="266"/>
      <c r="E15" s="266"/>
      <c r="F15" s="265"/>
    </row>
    <row r="16" spans="1:6" x14ac:dyDescent="0.45">
      <c r="A16" s="266"/>
      <c r="B16" s="326"/>
      <c r="C16" s="326"/>
      <c r="D16" s="266"/>
      <c r="E16" s="266"/>
      <c r="F16" s="265"/>
    </row>
    <row r="17" spans="1:11" x14ac:dyDescent="0.45">
      <c r="A17" s="266"/>
      <c r="B17" s="326"/>
      <c r="C17" s="326"/>
      <c r="D17" s="266"/>
      <c r="E17" s="266"/>
      <c r="F17" s="265"/>
    </row>
    <row r="18" spans="1:11" x14ac:dyDescent="0.45">
      <c r="A18" s="266"/>
      <c r="B18" s="326"/>
      <c r="C18" s="326"/>
      <c r="D18" s="266"/>
      <c r="E18" s="266"/>
      <c r="F18" s="265"/>
    </row>
    <row r="19" spans="1:11" ht="14.25" customHeight="1" x14ac:dyDescent="0.45">
      <c r="A19" s="266"/>
      <c r="B19" s="326"/>
      <c r="C19" s="326"/>
      <c r="D19" s="266"/>
      <c r="E19" s="266"/>
      <c r="F19" s="265"/>
      <c r="K19">
        <v>62500000</v>
      </c>
    </row>
    <row r="20" spans="1:11" ht="14.25" customHeight="1" x14ac:dyDescent="0.45">
      <c r="A20" s="266"/>
      <c r="B20" s="326"/>
      <c r="C20" s="326"/>
      <c r="D20" s="266"/>
      <c r="E20" s="266"/>
      <c r="F20" s="265"/>
      <c r="K20">
        <v>625000</v>
      </c>
    </row>
    <row r="21" spans="1:11" x14ac:dyDescent="0.45">
      <c r="A21" s="266"/>
      <c r="B21" s="326"/>
      <c r="C21" s="326"/>
      <c r="D21" s="266"/>
      <c r="E21" s="266"/>
      <c r="F21" s="265"/>
      <c r="K21">
        <v>320500</v>
      </c>
    </row>
    <row r="22" spans="1:11" ht="14.25" customHeight="1" x14ac:dyDescent="0.45">
      <c r="A22" s="266"/>
      <c r="B22" s="326"/>
      <c r="C22" s="326"/>
      <c r="D22" s="266"/>
      <c r="E22" s="266"/>
      <c r="F22" s="265"/>
    </row>
    <row r="23" spans="1:11" x14ac:dyDescent="0.45">
      <c r="A23" s="266"/>
      <c r="B23" s="326"/>
      <c r="C23" s="326"/>
      <c r="D23" s="266"/>
      <c r="E23" s="266"/>
      <c r="F23" s="265"/>
    </row>
    <row r="24" spans="1:11" x14ac:dyDescent="0.45">
      <c r="A24" s="266"/>
      <c r="B24" s="326"/>
      <c r="C24" s="326"/>
      <c r="D24" s="266"/>
      <c r="E24" s="266"/>
      <c r="F24" s="265"/>
    </row>
    <row r="25" spans="1:11" x14ac:dyDescent="0.45">
      <c r="A25" s="266"/>
      <c r="B25" s="326"/>
      <c r="C25" s="326"/>
      <c r="D25" s="266"/>
      <c r="E25" s="266"/>
      <c r="F25" s="265"/>
    </row>
    <row r="26" spans="1:11" x14ac:dyDescent="0.45">
      <c r="A26" s="266"/>
      <c r="B26" s="326"/>
      <c r="C26" s="326"/>
      <c r="D26" s="266"/>
      <c r="E26" s="266"/>
      <c r="F26" s="265"/>
    </row>
    <row r="27" spans="1:11" x14ac:dyDescent="0.45">
      <c r="A27" s="266"/>
      <c r="B27" s="326"/>
      <c r="C27" s="326"/>
      <c r="D27" s="266"/>
      <c r="E27" s="266"/>
      <c r="F27" s="265"/>
    </row>
    <row r="28" spans="1:11" ht="14.25" customHeight="1" x14ac:dyDescent="0.45">
      <c r="A28" s="266"/>
      <c r="B28" s="326"/>
      <c r="C28" s="326"/>
      <c r="D28" s="266"/>
      <c r="E28" s="266"/>
      <c r="F28" s="265"/>
    </row>
    <row r="29" spans="1:11" ht="14.25" customHeight="1" x14ac:dyDescent="0.45">
      <c r="A29" s="266"/>
      <c r="B29" s="326"/>
      <c r="C29" s="326"/>
      <c r="D29" s="266"/>
      <c r="E29" s="266"/>
      <c r="F29" s="265"/>
    </row>
    <row r="30" spans="1:11" x14ac:dyDescent="0.45">
      <c r="A30" s="266"/>
      <c r="B30" s="326"/>
      <c r="C30" s="326"/>
      <c r="D30" s="266"/>
      <c r="E30" s="266"/>
      <c r="F30" s="265"/>
    </row>
    <row r="31" spans="1:11" x14ac:dyDescent="0.45">
      <c r="A31" s="266"/>
      <c r="B31" s="326"/>
      <c r="C31" s="326"/>
      <c r="D31" s="266"/>
      <c r="E31" s="266"/>
      <c r="F31" s="265"/>
    </row>
    <row r="32" spans="1:11" x14ac:dyDescent="0.45">
      <c r="A32" s="266"/>
      <c r="B32" s="326"/>
      <c r="C32" s="326"/>
      <c r="D32" s="266"/>
      <c r="E32" s="266"/>
      <c r="F32" s="265"/>
    </row>
    <row r="33" spans="1:6" x14ac:dyDescent="0.45">
      <c r="A33" s="266"/>
      <c r="B33" s="326"/>
      <c r="C33" s="326"/>
      <c r="D33" s="266"/>
      <c r="E33" s="266"/>
      <c r="F33" s="265"/>
    </row>
    <row r="34" spans="1:6" x14ac:dyDescent="0.45">
      <c r="A34" s="266"/>
      <c r="B34" s="326"/>
      <c r="C34" s="326"/>
      <c r="D34" s="266"/>
      <c r="E34" s="266"/>
      <c r="F34" s="265"/>
    </row>
    <row r="35" spans="1:6" x14ac:dyDescent="0.45">
      <c r="A35" s="266"/>
      <c r="B35" s="326"/>
      <c r="C35" s="326"/>
      <c r="D35" s="266"/>
      <c r="E35" s="266"/>
      <c r="F35" s="265"/>
    </row>
    <row r="36" spans="1:6" x14ac:dyDescent="0.45">
      <c r="A36" s="266"/>
      <c r="B36" s="326"/>
      <c r="C36" s="326"/>
      <c r="D36" s="266"/>
      <c r="E36" s="266"/>
      <c r="F36" s="265"/>
    </row>
    <row r="37" spans="1:6" x14ac:dyDescent="0.45">
      <c r="A37" s="266"/>
      <c r="B37" s="326"/>
      <c r="C37" s="326"/>
      <c r="D37" s="266"/>
      <c r="E37" s="266"/>
      <c r="F37" s="265"/>
    </row>
    <row r="38" spans="1:6" x14ac:dyDescent="0.45">
      <c r="A38" s="266"/>
      <c r="B38" s="326"/>
      <c r="C38" s="326"/>
      <c r="D38" s="266"/>
      <c r="E38" s="266"/>
      <c r="F38" s="265"/>
    </row>
    <row r="39" spans="1:6" x14ac:dyDescent="0.45">
      <c r="A39" s="266"/>
      <c r="B39" s="326"/>
      <c r="C39" s="326"/>
      <c r="D39" s="266"/>
      <c r="E39" s="266"/>
      <c r="F39" s="265"/>
    </row>
    <row r="40" spans="1:6" x14ac:dyDescent="0.45">
      <c r="A40" s="266"/>
      <c r="B40" s="326"/>
      <c r="C40" s="326"/>
      <c r="D40" s="266"/>
      <c r="E40" s="266"/>
      <c r="F40" s="265"/>
    </row>
    <row r="41" spans="1:6" x14ac:dyDescent="0.45">
      <c r="A41" s="266"/>
      <c r="B41" s="326"/>
      <c r="C41" s="326"/>
      <c r="D41" s="266"/>
      <c r="E41" s="266"/>
      <c r="F41" s="265"/>
    </row>
    <row r="42" spans="1:6" x14ac:dyDescent="0.45">
      <c r="A42" s="266"/>
      <c r="B42" s="326"/>
      <c r="C42" s="326"/>
      <c r="D42" s="266"/>
      <c r="E42" s="266"/>
      <c r="F42" s="265"/>
    </row>
    <row r="43" spans="1:6" x14ac:dyDescent="0.45">
      <c r="A43" s="266"/>
      <c r="B43" s="326"/>
      <c r="C43" s="326"/>
      <c r="D43" s="266"/>
      <c r="E43" s="266"/>
      <c r="F43" s="265"/>
    </row>
    <row r="44" spans="1:6" x14ac:dyDescent="0.45">
      <c r="A44" s="266"/>
      <c r="B44" s="326"/>
      <c r="C44" s="326"/>
      <c r="D44" s="266"/>
      <c r="E44" s="266"/>
      <c r="F44" s="265"/>
    </row>
    <row r="45" spans="1:6" x14ac:dyDescent="0.45">
      <c r="A45" s="266"/>
      <c r="B45" s="326"/>
      <c r="C45" s="326"/>
      <c r="D45" s="266"/>
      <c r="E45" s="266"/>
      <c r="F45" s="265"/>
    </row>
    <row r="46" spans="1:6" x14ac:dyDescent="0.45">
      <c r="A46" s="266"/>
      <c r="B46" s="326"/>
      <c r="C46" s="326"/>
      <c r="D46" s="266"/>
      <c r="E46" s="266"/>
      <c r="F46" s="265"/>
    </row>
    <row r="47" spans="1:6" x14ac:dyDescent="0.45">
      <c r="A47" s="266"/>
      <c r="B47" s="326"/>
      <c r="C47" s="326"/>
      <c r="D47" s="266"/>
      <c r="E47" s="266"/>
      <c r="F47" s="265"/>
    </row>
    <row r="48" spans="1:6" x14ac:dyDescent="0.45">
      <c r="A48" s="266"/>
      <c r="B48" s="326"/>
      <c r="C48" s="326"/>
      <c r="D48" s="266"/>
      <c r="E48" s="266"/>
      <c r="F48" s="265"/>
    </row>
    <row r="49" spans="1:6" x14ac:dyDescent="0.45">
      <c r="A49" s="266"/>
      <c r="B49" s="326"/>
      <c r="C49" s="326"/>
      <c r="D49" s="266"/>
      <c r="E49" s="266"/>
      <c r="F49" s="265"/>
    </row>
    <row r="50" spans="1:6" x14ac:dyDescent="0.45">
      <c r="A50" s="266"/>
      <c r="B50" s="326"/>
      <c r="C50" s="326"/>
      <c r="D50" s="266"/>
      <c r="E50" s="266"/>
      <c r="F50" s="265"/>
    </row>
    <row r="51" spans="1:6" x14ac:dyDescent="0.45">
      <c r="A51" s="266"/>
      <c r="B51" s="326"/>
      <c r="C51" s="326"/>
      <c r="D51" s="266"/>
      <c r="E51" s="266"/>
      <c r="F51" s="265"/>
    </row>
    <row r="52" spans="1:6" x14ac:dyDescent="0.45">
      <c r="A52" s="266"/>
      <c r="B52" s="326"/>
      <c r="C52" s="326"/>
      <c r="D52" s="266"/>
      <c r="E52" s="266"/>
      <c r="F52" s="265"/>
    </row>
    <row r="53" spans="1:6" x14ac:dyDescent="0.45">
      <c r="A53" s="266"/>
      <c r="B53" s="326"/>
      <c r="C53" s="326"/>
      <c r="D53" s="266"/>
      <c r="E53" s="266"/>
      <c r="F53" s="265"/>
    </row>
    <row r="54" spans="1:6" x14ac:dyDescent="0.45">
      <c r="A54" s="266"/>
      <c r="B54" s="326"/>
      <c r="C54" s="326"/>
      <c r="D54" s="266"/>
      <c r="E54" s="266"/>
      <c r="F54" s="265"/>
    </row>
    <row r="55" spans="1:6" x14ac:dyDescent="0.45">
      <c r="A55" s="266"/>
      <c r="B55" s="326"/>
      <c r="C55" s="326"/>
      <c r="D55" s="266"/>
      <c r="E55" s="266"/>
      <c r="F55" s="265"/>
    </row>
    <row r="56" spans="1:6" x14ac:dyDescent="0.45">
      <c r="A56" s="266"/>
      <c r="B56" s="326"/>
      <c r="C56" s="326"/>
      <c r="D56" s="266"/>
      <c r="E56" s="266"/>
      <c r="F56" s="265"/>
    </row>
    <row r="57" spans="1:6" x14ac:dyDescent="0.45">
      <c r="A57" s="266"/>
      <c r="B57" s="326"/>
      <c r="C57" s="326"/>
      <c r="D57" s="266"/>
      <c r="E57" s="266"/>
      <c r="F57" s="265"/>
    </row>
    <row r="58" spans="1:6" x14ac:dyDescent="0.45">
      <c r="A58" s="266"/>
      <c r="B58" s="326"/>
      <c r="C58" s="326"/>
      <c r="D58" s="266"/>
      <c r="E58" s="266"/>
      <c r="F58" s="265"/>
    </row>
  </sheetData>
  <autoFilter ref="A7:F58" xr:uid="{ED4283E6-8B77-4F2E-BA42-8AA2EACCCFEC}">
    <filterColumn colId="1" showButton="0"/>
  </autoFilter>
  <mergeCells count="53">
    <mergeCell ref="A1:F6"/>
    <mergeCell ref="B17:C17"/>
    <mergeCell ref="B7:C7"/>
    <mergeCell ref="B11:C11"/>
    <mergeCell ref="B12:C12"/>
    <mergeCell ref="B13:C13"/>
    <mergeCell ref="B14:C14"/>
    <mergeCell ref="B15:C15"/>
    <mergeCell ref="B16:C16"/>
    <mergeCell ref="B9:C9"/>
    <mergeCell ref="B10:C10"/>
    <mergeCell ref="B8:C8"/>
    <mergeCell ref="B29:C29"/>
    <mergeCell ref="B18:C18"/>
    <mergeCell ref="B19:C19"/>
    <mergeCell ref="B20:C20"/>
    <mergeCell ref="B21:C21"/>
    <mergeCell ref="B22:C22"/>
    <mergeCell ref="B23:C23"/>
    <mergeCell ref="B24:C24"/>
    <mergeCell ref="B25:C25"/>
    <mergeCell ref="B26:C26"/>
    <mergeCell ref="B27:C27"/>
    <mergeCell ref="B28:C28"/>
    <mergeCell ref="B36:C36"/>
    <mergeCell ref="B37:C37"/>
    <mergeCell ref="B38:C38"/>
    <mergeCell ref="B30:C30"/>
    <mergeCell ref="B31:C31"/>
    <mergeCell ref="B32:C32"/>
    <mergeCell ref="B33:C33"/>
    <mergeCell ref="B34:C34"/>
    <mergeCell ref="B35:C35"/>
    <mergeCell ref="B39:C39"/>
    <mergeCell ref="B40:C40"/>
    <mergeCell ref="B41:C41"/>
    <mergeCell ref="B42:C42"/>
    <mergeCell ref="B43:C43"/>
    <mergeCell ref="B44:C44"/>
    <mergeCell ref="B45:C45"/>
    <mergeCell ref="B46:C46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B58:C58"/>
  </mergeCell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9A293D2-3A6E-40EA-9772-A6967C7261CB}">
            <xm:f>+VLOOKUP(F8,'Cedula Dividendos'!$E$10:$E$20,1,0)</xm:f>
            <x14:dxf>
              <fill>
                <patternFill>
                  <bgColor rgb="FF92D050"/>
                </patternFill>
              </fill>
            </x14:dxf>
          </x14:cfRule>
          <x14:cfRule type="expression" priority="2" id="{7CD63F99-5315-4B4C-B3B4-32440F89CEDC}">
            <xm:f>+VLOOKUP(F8,'Cedula Pensiones'!$J$10:$K$20,1,0)</xm:f>
            <x14:dxf>
              <fill>
                <patternFill>
                  <bgColor rgb="FF92D050"/>
                </patternFill>
              </fill>
            </x14:dxf>
          </x14:cfRule>
          <x14:cfRule type="expression" priority="3" id="{6F734835-8DF4-492D-B890-B14701FF5E4A}">
            <xm:f>+VLOOKUP(F8,Patrimonio!$O$10:$O$25,1,0)</xm:f>
            <x14:dxf>
              <fill>
                <patternFill>
                  <bgColor rgb="FF92D050"/>
                </patternFill>
              </fill>
            </x14:dxf>
          </x14:cfRule>
          <x14:cfRule type="expression" priority="4" id="{E286CFEF-7398-4BE6-B24D-6D03CF268037}">
            <xm:f>+VLOOKUP(F8,'Ganancia Ocasional'!$K$10:$L$20,1,0)</xm:f>
            <x14:dxf>
              <fill>
                <patternFill>
                  <bgColor rgb="FF92D050"/>
                </patternFill>
              </fill>
            </x14:dxf>
          </x14:cfRule>
          <x14:cfRule type="expression" priority="5" id="{A2240DB4-50FD-4F0B-BA00-FCDAE53865B8}">
            <xm:f>+VLOOKUP(F8,Patrimonio!$H$10:$H$25,1,0)</xm:f>
            <x14:dxf>
              <fill>
                <patternFill>
                  <bgColor rgb="FF92D050"/>
                </patternFill>
              </fill>
            </x14:dxf>
          </x14:cfRule>
          <x14:cfRule type="expression" priority="6" id="{8F5439F3-0798-4472-8C6C-F73E0CF3CE45}">
            <xm:f>+VLOOKUP(F8,'Cedula General'!$K$10:$K$43,1,0)</xm:f>
            <x14:dxf>
              <fill>
                <patternFill>
                  <bgColor rgb="FF92D050"/>
                </patternFill>
              </fill>
            </x14:dxf>
          </x14:cfRule>
          <xm:sqref>F8:F70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16A0D-2DF9-4AD6-AA17-14BB6D140BD6}">
  <sheetPr codeName="Hoja15"/>
  <dimension ref="A1:AW70"/>
  <sheetViews>
    <sheetView showGridLines="0" zoomScale="82" zoomScaleNormal="80" workbookViewId="0">
      <selection activeCell="AX1" sqref="AX1:XFD70"/>
    </sheetView>
  </sheetViews>
  <sheetFormatPr baseColWidth="10" defaultRowHeight="14.25" x14ac:dyDescent="0.45"/>
  <cols>
    <col min="1" max="8" width="3.796875" style="289" customWidth="1"/>
    <col min="9" max="9" width="5.46484375" style="289" customWidth="1"/>
    <col min="10" max="28" width="3.796875" style="289" customWidth="1"/>
    <col min="29" max="29" width="5.59765625" style="289" customWidth="1"/>
    <col min="30" max="35" width="3.796875" style="289" customWidth="1"/>
    <col min="36" max="36" width="12.06640625" style="289" customWidth="1"/>
    <col min="37" max="45" width="3.796875" style="289" customWidth="1"/>
    <col min="46" max="16384" width="10.6640625" style="289"/>
  </cols>
  <sheetData>
    <row r="1" spans="1:49" x14ac:dyDescent="0.45">
      <c r="A1" s="354"/>
      <c r="B1" s="355"/>
      <c r="C1" s="355"/>
      <c r="D1" s="355"/>
      <c r="E1" s="355"/>
      <c r="F1" s="355"/>
      <c r="G1" s="355"/>
      <c r="H1" s="355"/>
      <c r="I1" s="355"/>
      <c r="J1" s="355"/>
      <c r="K1" s="359" t="s">
        <v>281</v>
      </c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1"/>
      <c r="AC1" s="365" t="s">
        <v>282</v>
      </c>
      <c r="AD1" s="366"/>
      <c r="AE1" s="366"/>
      <c r="AF1" s="366"/>
      <c r="AG1" s="366"/>
      <c r="AH1" s="366"/>
      <c r="AI1" s="366"/>
      <c r="AJ1" s="367"/>
      <c r="AK1" s="371">
        <v>210</v>
      </c>
      <c r="AL1" s="372"/>
      <c r="AM1" s="372"/>
      <c r="AN1" s="372"/>
      <c r="AO1" s="372"/>
      <c r="AP1" s="372"/>
      <c r="AQ1" s="372"/>
      <c r="AR1" s="372"/>
      <c r="AS1" s="377"/>
      <c r="AT1" s="114"/>
      <c r="AU1" s="114"/>
      <c r="AV1" s="114"/>
      <c r="AW1" s="114"/>
    </row>
    <row r="2" spans="1:49" x14ac:dyDescent="0.45">
      <c r="A2" s="356"/>
      <c r="B2" s="357"/>
      <c r="C2" s="357"/>
      <c r="D2" s="357"/>
      <c r="E2" s="357"/>
      <c r="F2" s="357"/>
      <c r="G2" s="357"/>
      <c r="H2" s="357"/>
      <c r="I2" s="357"/>
      <c r="J2" s="358"/>
      <c r="K2" s="362"/>
      <c r="L2" s="363"/>
      <c r="M2" s="363"/>
      <c r="N2" s="363"/>
      <c r="O2" s="363"/>
      <c r="P2" s="363"/>
      <c r="Q2" s="363"/>
      <c r="R2" s="363"/>
      <c r="S2" s="363"/>
      <c r="T2" s="363"/>
      <c r="U2" s="363"/>
      <c r="V2" s="363"/>
      <c r="W2" s="363"/>
      <c r="X2" s="363"/>
      <c r="Y2" s="363"/>
      <c r="Z2" s="363"/>
      <c r="AA2" s="363"/>
      <c r="AB2" s="364"/>
      <c r="AC2" s="368"/>
      <c r="AD2" s="368"/>
      <c r="AE2" s="368"/>
      <c r="AF2" s="368"/>
      <c r="AG2" s="368"/>
      <c r="AH2" s="368"/>
      <c r="AI2" s="368"/>
      <c r="AJ2" s="369"/>
      <c r="AK2" s="373"/>
      <c r="AL2" s="374"/>
      <c r="AM2" s="374"/>
      <c r="AN2" s="374"/>
      <c r="AO2" s="374"/>
      <c r="AP2" s="374"/>
      <c r="AQ2" s="374"/>
      <c r="AR2" s="374"/>
      <c r="AS2" s="374"/>
      <c r="AT2" s="114"/>
      <c r="AU2" s="114"/>
      <c r="AV2" s="114"/>
      <c r="AW2" s="114"/>
    </row>
    <row r="3" spans="1:49" x14ac:dyDescent="0.45">
      <c r="A3" s="356"/>
      <c r="B3" s="357"/>
      <c r="C3" s="357"/>
      <c r="D3" s="357"/>
      <c r="E3" s="357"/>
      <c r="F3" s="357"/>
      <c r="G3" s="357"/>
      <c r="H3" s="357"/>
      <c r="I3" s="357"/>
      <c r="J3" s="358"/>
      <c r="K3" s="362"/>
      <c r="L3" s="363"/>
      <c r="M3" s="363"/>
      <c r="N3" s="363"/>
      <c r="O3" s="363"/>
      <c r="P3" s="363"/>
      <c r="Q3" s="363"/>
      <c r="R3" s="363"/>
      <c r="S3" s="363"/>
      <c r="T3" s="363"/>
      <c r="U3" s="363"/>
      <c r="V3" s="363"/>
      <c r="W3" s="363"/>
      <c r="X3" s="363"/>
      <c r="Y3" s="363"/>
      <c r="Z3" s="363"/>
      <c r="AA3" s="363"/>
      <c r="AB3" s="364"/>
      <c r="AC3" s="368"/>
      <c r="AD3" s="368"/>
      <c r="AE3" s="368"/>
      <c r="AF3" s="368"/>
      <c r="AG3" s="368"/>
      <c r="AH3" s="368"/>
      <c r="AI3" s="368"/>
      <c r="AJ3" s="369"/>
      <c r="AK3" s="373"/>
      <c r="AL3" s="374"/>
      <c r="AM3" s="374"/>
      <c r="AN3" s="374"/>
      <c r="AO3" s="374"/>
      <c r="AP3" s="374"/>
      <c r="AQ3" s="374"/>
      <c r="AR3" s="374"/>
      <c r="AS3" s="374"/>
      <c r="AT3" s="114"/>
      <c r="AU3" s="114"/>
      <c r="AV3" s="114"/>
      <c r="AW3" s="114"/>
    </row>
    <row r="4" spans="1:49" ht="14.65" thickBot="1" x14ac:dyDescent="0.5">
      <c r="A4" s="356"/>
      <c r="B4" s="357"/>
      <c r="C4" s="357"/>
      <c r="D4" s="357"/>
      <c r="E4" s="357"/>
      <c r="F4" s="357"/>
      <c r="G4" s="357"/>
      <c r="H4" s="357"/>
      <c r="I4" s="357"/>
      <c r="J4" s="357"/>
      <c r="K4" s="362"/>
      <c r="L4" s="363"/>
      <c r="M4" s="363"/>
      <c r="N4" s="363"/>
      <c r="O4" s="363"/>
      <c r="P4" s="363"/>
      <c r="Q4" s="363"/>
      <c r="R4" s="363"/>
      <c r="S4" s="363"/>
      <c r="T4" s="363"/>
      <c r="U4" s="363"/>
      <c r="V4" s="363"/>
      <c r="W4" s="363"/>
      <c r="X4" s="363"/>
      <c r="Y4" s="363"/>
      <c r="Z4" s="363"/>
      <c r="AA4" s="363"/>
      <c r="AB4" s="364"/>
      <c r="AC4" s="370"/>
      <c r="AD4" s="368"/>
      <c r="AE4" s="368"/>
      <c r="AF4" s="368"/>
      <c r="AG4" s="368"/>
      <c r="AH4" s="368"/>
      <c r="AI4" s="368"/>
      <c r="AJ4" s="369"/>
      <c r="AK4" s="375"/>
      <c r="AL4" s="376"/>
      <c r="AM4" s="376"/>
      <c r="AN4" s="376"/>
      <c r="AO4" s="376"/>
      <c r="AP4" s="376"/>
      <c r="AQ4" s="376"/>
      <c r="AR4" s="376"/>
      <c r="AS4" s="376"/>
      <c r="AT4" s="114"/>
      <c r="AU4" s="114"/>
      <c r="AV4" s="114"/>
      <c r="AW4" s="114"/>
    </row>
    <row r="5" spans="1:49" ht="14.65" thickBot="1" x14ac:dyDescent="0.5">
      <c r="A5" s="139"/>
      <c r="B5" s="140"/>
      <c r="C5" s="378" t="s">
        <v>284</v>
      </c>
      <c r="D5" s="378"/>
      <c r="E5" s="141" t="str">
        <f>+MID(UVT!B10,1,1)</f>
        <v>2</v>
      </c>
      <c r="F5" s="142" t="str">
        <f>+MID(UVT!B10,2,1)</f>
        <v>0</v>
      </c>
      <c r="G5" s="142" t="str">
        <f>+MID(UVT!B10,3,1)</f>
        <v>2</v>
      </c>
      <c r="H5" s="143" t="str">
        <f>+MID(UVT!B10,4,1)</f>
        <v>2</v>
      </c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4"/>
      <c r="Z5" s="145"/>
      <c r="AA5" s="146"/>
      <c r="AB5" s="146"/>
      <c r="AC5" s="146"/>
      <c r="AD5" s="146"/>
      <c r="AE5" s="146"/>
      <c r="AF5" s="379"/>
      <c r="AG5" s="379"/>
      <c r="AH5" s="379"/>
      <c r="AI5" s="379"/>
      <c r="AJ5" s="379"/>
      <c r="AK5" s="379"/>
      <c r="AL5" s="379"/>
      <c r="AM5" s="379"/>
      <c r="AN5" s="379"/>
      <c r="AO5" s="379"/>
      <c r="AP5" s="379"/>
      <c r="AQ5" s="146"/>
      <c r="AR5" s="146"/>
      <c r="AS5" s="147"/>
      <c r="AT5" s="114"/>
      <c r="AU5" s="114"/>
      <c r="AV5" s="114"/>
      <c r="AW5" s="114"/>
    </row>
    <row r="6" spans="1:49" ht="23.25" thickTop="1" thickBot="1" x14ac:dyDescent="0.5">
      <c r="A6" s="148"/>
      <c r="B6" s="149"/>
      <c r="C6" s="150"/>
      <c r="D6" s="383"/>
      <c r="E6" s="383"/>
      <c r="F6" s="383"/>
      <c r="G6" s="383"/>
      <c r="H6" s="383"/>
      <c r="I6" s="383"/>
      <c r="J6" s="383"/>
      <c r="K6" s="383"/>
      <c r="L6" s="383"/>
      <c r="M6" s="383"/>
      <c r="N6" s="383"/>
      <c r="O6" s="383"/>
      <c r="P6" s="383"/>
      <c r="Q6" s="383"/>
      <c r="R6" s="383"/>
      <c r="S6" s="383"/>
      <c r="T6" s="383"/>
      <c r="U6" s="383"/>
      <c r="V6" s="151"/>
      <c r="W6" s="151"/>
      <c r="X6" s="151"/>
      <c r="Y6" s="152"/>
      <c r="Z6" s="153" t="s">
        <v>286</v>
      </c>
      <c r="AA6" s="154"/>
      <c r="AB6" s="154"/>
      <c r="AC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54"/>
      <c r="AO6" s="154"/>
      <c r="AP6" s="154"/>
      <c r="AQ6" s="154"/>
      <c r="AR6" s="154"/>
      <c r="AS6" s="155"/>
      <c r="AT6" s="114"/>
      <c r="AU6" s="114"/>
      <c r="AV6" s="114"/>
      <c r="AW6" s="114"/>
    </row>
    <row r="7" spans="1:49" ht="21" thickBot="1" x14ac:dyDescent="0.5">
      <c r="A7" s="148"/>
      <c r="B7" s="149"/>
      <c r="C7" s="384"/>
      <c r="D7" s="384"/>
      <c r="E7" s="384"/>
      <c r="F7" s="384"/>
      <c r="G7" s="384"/>
      <c r="H7" s="384"/>
      <c r="I7" s="384"/>
      <c r="J7" s="384"/>
      <c r="K7" s="384"/>
      <c r="L7" s="384"/>
      <c r="M7" s="384"/>
      <c r="N7" s="384"/>
      <c r="O7" s="384"/>
      <c r="P7" s="384"/>
      <c r="Q7" s="384"/>
      <c r="R7" s="384"/>
      <c r="S7" s="384"/>
      <c r="T7" s="384"/>
      <c r="U7" s="384"/>
      <c r="V7" s="156"/>
      <c r="W7" s="156"/>
      <c r="X7" s="156"/>
      <c r="Y7" s="152"/>
      <c r="Z7" s="154"/>
      <c r="AA7" s="154"/>
      <c r="AB7" s="154"/>
      <c r="AC7" s="154"/>
      <c r="AD7" s="154"/>
      <c r="AE7" s="157"/>
      <c r="AF7" s="158"/>
      <c r="AG7" s="553" t="s">
        <v>527</v>
      </c>
      <c r="AH7" s="554"/>
      <c r="AI7" s="554"/>
      <c r="AJ7" s="554"/>
      <c r="AK7" s="554"/>
      <c r="AL7" s="554"/>
      <c r="AM7" s="554"/>
      <c r="AN7" s="555"/>
      <c r="AO7" s="158"/>
      <c r="AP7" s="158"/>
      <c r="AQ7" s="159"/>
      <c r="AR7" s="154"/>
      <c r="AS7" s="155"/>
      <c r="AT7" s="114"/>
      <c r="AU7" s="114"/>
      <c r="AV7" s="114"/>
      <c r="AW7" s="114"/>
    </row>
    <row r="8" spans="1:49" ht="21" thickBot="1" x14ac:dyDescent="0.5">
      <c r="A8" s="148"/>
      <c r="B8" s="149"/>
      <c r="C8" s="160"/>
      <c r="D8" s="160"/>
      <c r="E8" s="160"/>
      <c r="F8" s="160"/>
      <c r="G8" s="160"/>
      <c r="H8" s="160"/>
      <c r="I8" s="160"/>
      <c r="J8" s="160"/>
      <c r="K8" s="160"/>
      <c r="L8" s="160"/>
      <c r="M8" s="160"/>
      <c r="N8" s="160"/>
      <c r="O8" s="160"/>
      <c r="P8" s="160"/>
      <c r="Q8" s="160"/>
      <c r="R8" s="149"/>
      <c r="S8" s="150"/>
      <c r="T8" s="150"/>
      <c r="U8" s="150"/>
      <c r="V8" s="150"/>
      <c r="W8" s="150"/>
      <c r="X8" s="150"/>
      <c r="Y8" s="152"/>
      <c r="Z8" s="154"/>
      <c r="AA8" s="154"/>
      <c r="AB8" s="154"/>
      <c r="AC8" s="154"/>
      <c r="AD8" s="154"/>
      <c r="AE8" s="550">
        <f>IF(IFERROR(VLOOKUP(_xlfn.NUMBERVALUE(+RIGHT(Motor!B2,2)),Vencimientos!A:C,3,0),0)=0,VLOOKUP(_xlfn.NUMBERVALUE(+RIGHT(Motor!B2,2)),Vencimientos!B:B,2,0),VLOOKUP(_xlfn.NUMBERVALUE(+RIGHT(Motor!B2,2)),Vencimientos!A:C,3,0))</f>
        <v>45218</v>
      </c>
      <c r="AF8" s="551"/>
      <c r="AG8" s="551"/>
      <c r="AH8" s="551"/>
      <c r="AI8" s="551"/>
      <c r="AJ8" s="551"/>
      <c r="AK8" s="551"/>
      <c r="AL8" s="551"/>
      <c r="AM8" s="551"/>
      <c r="AN8" s="551"/>
      <c r="AO8" s="551"/>
      <c r="AP8" s="551"/>
      <c r="AQ8" s="552"/>
      <c r="AR8" s="154"/>
      <c r="AS8" s="155"/>
      <c r="AT8" s="556" t="s">
        <v>528</v>
      </c>
      <c r="AU8" s="557"/>
      <c r="AV8" s="114"/>
      <c r="AW8" s="114"/>
    </row>
    <row r="9" spans="1:49" ht="14.65" thickBot="1" x14ac:dyDescent="0.5">
      <c r="A9" s="161"/>
      <c r="B9" s="162"/>
      <c r="C9" s="163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385"/>
      <c r="R9" s="162"/>
      <c r="S9" s="163"/>
      <c r="T9" s="163"/>
      <c r="U9" s="163"/>
      <c r="V9" s="163"/>
      <c r="W9" s="163"/>
      <c r="X9" s="163"/>
      <c r="Y9" s="386"/>
      <c r="Z9" s="387"/>
      <c r="AA9" s="387"/>
      <c r="AB9" s="387"/>
      <c r="AC9" s="387"/>
      <c r="AD9" s="387"/>
      <c r="AE9" s="387"/>
      <c r="AF9" s="387"/>
      <c r="AG9" s="387"/>
      <c r="AH9" s="387"/>
      <c r="AI9" s="387"/>
      <c r="AJ9" s="387"/>
      <c r="AK9" s="387"/>
      <c r="AL9" s="387"/>
      <c r="AM9" s="387"/>
      <c r="AN9" s="387"/>
      <c r="AO9" s="387"/>
      <c r="AP9" s="387"/>
      <c r="AQ9" s="387"/>
      <c r="AR9" s="387"/>
      <c r="AS9" s="388"/>
      <c r="AT9" s="114"/>
      <c r="AU9" s="114"/>
      <c r="AV9" s="114"/>
      <c r="AW9" s="114"/>
    </row>
    <row r="10" spans="1:49" x14ac:dyDescent="0.45">
      <c r="A10" s="405" t="s">
        <v>289</v>
      </c>
      <c r="B10" s="406"/>
      <c r="C10" s="164" t="s">
        <v>290</v>
      </c>
      <c r="D10" s="165"/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6"/>
      <c r="P10" s="165"/>
      <c r="Q10" s="167" t="s">
        <v>291</v>
      </c>
      <c r="R10" s="164" t="s">
        <v>292</v>
      </c>
      <c r="S10" s="164"/>
      <c r="T10" s="164"/>
      <c r="U10" s="164"/>
      <c r="V10" s="164"/>
      <c r="W10" s="164" t="s">
        <v>293</v>
      </c>
      <c r="X10" s="164"/>
      <c r="Y10" s="164"/>
      <c r="Z10" s="164"/>
      <c r="AA10" s="164"/>
      <c r="AB10" s="164"/>
      <c r="AC10" s="164" t="s">
        <v>294</v>
      </c>
      <c r="AD10" s="164"/>
      <c r="AE10" s="164"/>
      <c r="AF10" s="164"/>
      <c r="AG10" s="164"/>
      <c r="AH10" s="164"/>
      <c r="AI10" s="164"/>
      <c r="AJ10" s="164"/>
      <c r="AK10" s="154"/>
      <c r="AL10" s="164" t="s">
        <v>295</v>
      </c>
      <c r="AM10" s="168"/>
      <c r="AN10" s="165"/>
      <c r="AO10" s="165"/>
      <c r="AP10" s="165"/>
      <c r="AQ10" s="165"/>
      <c r="AR10" s="165"/>
      <c r="AS10" s="169"/>
      <c r="AT10" s="114"/>
      <c r="AU10" s="114"/>
      <c r="AV10" s="114"/>
      <c r="AW10" s="114"/>
    </row>
    <row r="11" spans="1:49" x14ac:dyDescent="0.45">
      <c r="A11" s="407"/>
      <c r="B11" s="408"/>
      <c r="C11" s="170" t="str">
        <f>+MID(Motor!$B$2,1,1)</f>
        <v>0</v>
      </c>
      <c r="D11" s="170" t="str">
        <f>+MID(Motor!$B$2,2,1)</f>
        <v/>
      </c>
      <c r="E11" s="170" t="str">
        <f>+MID(Motor!$B$2,3,1)</f>
        <v/>
      </c>
      <c r="F11" s="170" t="str">
        <f>+MID(Motor!$B$2,4,1)</f>
        <v/>
      </c>
      <c r="G11" s="170" t="str">
        <f>+MID(Motor!$B$2,5,1)</f>
        <v/>
      </c>
      <c r="H11" s="170" t="str">
        <f>+MID(Motor!$B$2,6,1)</f>
        <v/>
      </c>
      <c r="I11" s="170" t="str">
        <f>+MID(Motor!$B$2,7,1)</f>
        <v/>
      </c>
      <c r="J11" s="170" t="str">
        <f>+MID(Motor!$B$2,8,1)</f>
        <v/>
      </c>
      <c r="K11" s="170" t="str">
        <f>+MID(Motor!$B$2,9,1)</f>
        <v/>
      </c>
      <c r="L11" s="170" t="str">
        <f>+MID(Motor!$B$2,10,1)</f>
        <v/>
      </c>
      <c r="M11" s="170" t="str">
        <f>+MID(Motor!$B$2,11,1)</f>
        <v/>
      </c>
      <c r="N11" s="170" t="str">
        <f>+MID(Motor!$B$2,12,1)</f>
        <v/>
      </c>
      <c r="O11" s="170" t="str">
        <f>+MID(Motor!$B$2,13,1)</f>
        <v/>
      </c>
      <c r="P11" s="170"/>
      <c r="Q11" s="171">
        <f>+Motor!B3</f>
        <v>0</v>
      </c>
      <c r="R11" s="409">
        <f>+Motor!B4</f>
        <v>0</v>
      </c>
      <c r="S11" s="410"/>
      <c r="T11" s="410"/>
      <c r="U11" s="410"/>
      <c r="V11" s="410"/>
      <c r="W11" s="410"/>
      <c r="X11" s="410"/>
      <c r="Y11" s="410"/>
      <c r="Z11" s="410"/>
      <c r="AA11" s="410"/>
      <c r="AB11" s="410"/>
      <c r="AC11" s="410"/>
      <c r="AD11" s="410"/>
      <c r="AE11" s="410"/>
      <c r="AF11" s="410"/>
      <c r="AG11" s="410"/>
      <c r="AH11" s="410"/>
      <c r="AI11" s="410"/>
      <c r="AJ11" s="410"/>
      <c r="AK11" s="410"/>
      <c r="AL11" s="410"/>
      <c r="AM11" s="410"/>
      <c r="AN11" s="410"/>
      <c r="AO11" s="410"/>
      <c r="AP11" s="410"/>
      <c r="AQ11" s="410"/>
      <c r="AR11" s="410"/>
      <c r="AS11" s="172"/>
      <c r="AT11" s="114"/>
      <c r="AU11" s="114"/>
      <c r="AV11" s="114"/>
      <c r="AW11" s="114"/>
    </row>
    <row r="12" spans="1:49" ht="23.55" customHeight="1" x14ac:dyDescent="0.45">
      <c r="A12" s="407"/>
      <c r="B12" s="408"/>
      <c r="C12" s="411" t="s">
        <v>297</v>
      </c>
      <c r="D12" s="411"/>
      <c r="E12" s="411"/>
      <c r="F12" s="411"/>
      <c r="G12" s="411"/>
      <c r="H12" s="411"/>
      <c r="I12" s="411"/>
      <c r="J12" s="411"/>
      <c r="K12" s="411"/>
      <c r="L12" s="411"/>
      <c r="M12" s="411"/>
      <c r="N12" s="411"/>
      <c r="O12" s="411"/>
      <c r="P12" s="411"/>
      <c r="Q12" s="411"/>
      <c r="R12" s="411"/>
      <c r="S12" s="411"/>
      <c r="T12" s="411"/>
      <c r="U12" s="411"/>
      <c r="V12" s="411"/>
      <c r="W12" s="411"/>
      <c r="X12" s="411"/>
      <c r="Y12" s="411"/>
      <c r="Z12" s="411"/>
      <c r="AA12" s="411"/>
      <c r="AB12" s="411"/>
      <c r="AC12" s="411"/>
      <c r="AD12" s="411"/>
      <c r="AE12" s="411"/>
      <c r="AF12" s="411"/>
      <c r="AG12" s="411"/>
      <c r="AH12" s="411"/>
      <c r="AI12" s="411"/>
      <c r="AJ12" s="411"/>
      <c r="AK12" s="411"/>
      <c r="AL12" s="411"/>
      <c r="AM12" s="411"/>
      <c r="AN12" s="411"/>
      <c r="AO12" s="412" t="s">
        <v>298</v>
      </c>
      <c r="AP12" s="413"/>
      <c r="AQ12" s="413"/>
      <c r="AR12" s="413"/>
      <c r="AS12" s="414"/>
      <c r="AT12" s="114"/>
      <c r="AU12" s="114"/>
      <c r="AV12" s="114"/>
      <c r="AW12" s="114"/>
    </row>
    <row r="13" spans="1:49" ht="24.5" customHeight="1" x14ac:dyDescent="0.45">
      <c r="A13" s="396" t="s">
        <v>299</v>
      </c>
      <c r="B13" s="396"/>
      <c r="C13" s="396"/>
      <c r="D13" s="396"/>
      <c r="E13" s="396"/>
      <c r="F13" s="396"/>
      <c r="G13" s="396"/>
      <c r="H13" s="396"/>
      <c r="I13" s="173" t="str">
        <f>+MID(Motor!B6,1,1)</f>
        <v>0</v>
      </c>
      <c r="J13" s="173" t="str">
        <f>+MID(Motor!B6,2,1)</f>
        <v>1</v>
      </c>
      <c r="K13" s="173" t="str">
        <f>+MID(Motor!B6,3,1)</f>
        <v>0</v>
      </c>
      <c r="L13" s="173" t="str">
        <f>+MID(Motor!B6,4,1)</f>
        <v/>
      </c>
      <c r="M13" s="174"/>
      <c r="N13" s="175"/>
      <c r="O13" s="176"/>
      <c r="P13" s="397" t="s">
        <v>300</v>
      </c>
      <c r="Q13" s="397"/>
      <c r="R13" s="397"/>
      <c r="S13" s="397"/>
      <c r="T13" s="397"/>
      <c r="U13" s="177"/>
      <c r="V13" s="178" t="s">
        <v>301</v>
      </c>
      <c r="W13" s="392"/>
      <c r="X13" s="393"/>
      <c r="Y13" s="398" t="s">
        <v>302</v>
      </c>
      <c r="Z13" s="398"/>
      <c r="AA13" s="398"/>
      <c r="AB13" s="398"/>
      <c r="AC13" s="398"/>
      <c r="AD13" s="394"/>
      <c r="AE13" s="395"/>
      <c r="AF13" s="179" t="s">
        <v>455</v>
      </c>
      <c r="AG13" s="179"/>
      <c r="AH13" s="179"/>
      <c r="AI13" s="179"/>
      <c r="AJ13" s="179"/>
      <c r="AK13" s="180"/>
      <c r="AL13" s="399" t="s">
        <v>456</v>
      </c>
      <c r="AM13" s="399"/>
      <c r="AN13" s="399"/>
      <c r="AO13" s="399"/>
      <c r="AP13" s="399"/>
      <c r="AQ13" s="399"/>
      <c r="AR13" s="399"/>
      <c r="AS13" s="177"/>
      <c r="AT13" s="114"/>
      <c r="AU13" s="114"/>
      <c r="AV13" s="114"/>
      <c r="AW13" s="114"/>
    </row>
    <row r="14" spans="1:49" ht="29.55" customHeight="1" x14ac:dyDescent="0.45">
      <c r="A14" s="400" t="s">
        <v>303</v>
      </c>
      <c r="B14" s="400"/>
      <c r="C14" s="400"/>
      <c r="D14" s="400"/>
      <c r="E14" s="400" t="s">
        <v>459</v>
      </c>
      <c r="F14" s="400"/>
      <c r="G14" s="400"/>
      <c r="H14" s="400"/>
      <c r="I14" s="400"/>
      <c r="J14" s="181">
        <v>29</v>
      </c>
      <c r="K14" s="401">
        <f>ROUND(+SUM(Patrimonio!H10:H27),-3)</f>
        <v>0</v>
      </c>
      <c r="L14" s="402"/>
      <c r="M14" s="402"/>
      <c r="N14" s="402"/>
      <c r="O14" s="402"/>
      <c r="P14" s="402"/>
      <c r="Q14" s="402"/>
      <c r="R14" s="402"/>
      <c r="S14" s="402"/>
      <c r="T14" s="403"/>
      <c r="U14" s="380" t="s">
        <v>307</v>
      </c>
      <c r="V14" s="381"/>
      <c r="W14" s="382"/>
      <c r="X14" s="181">
        <v>30</v>
      </c>
      <c r="Y14" s="401">
        <f>ROUND(+SUM(Patrimonio!O10:O27),-3)</f>
        <v>0</v>
      </c>
      <c r="Z14" s="402"/>
      <c r="AA14" s="402"/>
      <c r="AB14" s="402"/>
      <c r="AC14" s="402"/>
      <c r="AD14" s="402"/>
      <c r="AE14" s="402"/>
      <c r="AF14" s="403"/>
      <c r="AG14" s="380" t="s">
        <v>460</v>
      </c>
      <c r="AH14" s="381"/>
      <c r="AI14" s="381"/>
      <c r="AJ14" s="382"/>
      <c r="AK14" s="181">
        <v>31</v>
      </c>
      <c r="AL14" s="389">
        <f>IF(+K14-Y14&gt;0,K14-Y14,0)</f>
        <v>0</v>
      </c>
      <c r="AM14" s="390"/>
      <c r="AN14" s="390"/>
      <c r="AO14" s="390"/>
      <c r="AP14" s="390"/>
      <c r="AQ14" s="390"/>
      <c r="AR14" s="390"/>
      <c r="AS14" s="391"/>
      <c r="AT14" s="114"/>
      <c r="AU14" s="114"/>
      <c r="AV14" s="263" t="s">
        <v>547</v>
      </c>
      <c r="AW14" s="114"/>
    </row>
    <row r="15" spans="1:49" x14ac:dyDescent="0.45">
      <c r="A15" s="415" t="s">
        <v>457</v>
      </c>
      <c r="B15" s="417" t="s">
        <v>458</v>
      </c>
      <c r="C15" s="417"/>
      <c r="D15" s="417"/>
      <c r="E15" s="417"/>
      <c r="F15" s="417"/>
      <c r="G15" s="417"/>
      <c r="H15" s="417"/>
      <c r="I15" s="417" t="s">
        <v>461</v>
      </c>
      <c r="J15" s="417"/>
      <c r="K15" s="417"/>
      <c r="L15" s="417"/>
      <c r="M15" s="417"/>
      <c r="N15" s="417"/>
      <c r="O15" s="417"/>
      <c r="P15" s="417"/>
      <c r="Q15" s="417"/>
      <c r="R15" s="418" t="s">
        <v>462</v>
      </c>
      <c r="S15" s="418"/>
      <c r="T15" s="418"/>
      <c r="U15" s="418"/>
      <c r="V15" s="418"/>
      <c r="W15" s="418"/>
      <c r="X15" s="418"/>
      <c r="Y15" s="418"/>
      <c r="Z15" s="418"/>
      <c r="AA15" s="418"/>
      <c r="AB15" s="418"/>
      <c r="AC15" s="418"/>
      <c r="AD15" s="418"/>
      <c r="AE15" s="418"/>
      <c r="AF15" s="417" t="s">
        <v>463</v>
      </c>
      <c r="AG15" s="417"/>
      <c r="AH15" s="417"/>
      <c r="AI15" s="417"/>
      <c r="AJ15" s="417"/>
      <c r="AK15" s="417"/>
      <c r="AL15" s="299" t="s">
        <v>464</v>
      </c>
      <c r="AM15" s="299"/>
      <c r="AN15" s="299"/>
      <c r="AO15" s="299"/>
      <c r="AP15" s="299"/>
      <c r="AQ15" s="299"/>
      <c r="AR15" s="299"/>
      <c r="AS15" s="299"/>
      <c r="AT15" s="114"/>
      <c r="AU15" s="114"/>
      <c r="AV15" s="114"/>
      <c r="AW15" s="114"/>
    </row>
    <row r="16" spans="1:49" x14ac:dyDescent="0.45">
      <c r="A16" s="415"/>
      <c r="B16" s="347" t="s">
        <v>465</v>
      </c>
      <c r="C16" s="348"/>
      <c r="D16" s="348"/>
      <c r="E16" s="348"/>
      <c r="F16" s="348"/>
      <c r="G16" s="348"/>
      <c r="H16" s="348"/>
      <c r="I16" s="127">
        <v>32</v>
      </c>
      <c r="J16" s="419">
        <f>ROUND(+Motor!F2,-3)</f>
        <v>0</v>
      </c>
      <c r="K16" s="420"/>
      <c r="L16" s="420"/>
      <c r="M16" s="420"/>
      <c r="N16" s="420"/>
      <c r="O16" s="420"/>
      <c r="P16" s="420"/>
      <c r="Q16" s="420"/>
      <c r="R16" s="127">
        <v>43</v>
      </c>
      <c r="S16" s="330">
        <f>ROUND(+Motor!F65,-3)</f>
        <v>0</v>
      </c>
      <c r="T16" s="330"/>
      <c r="U16" s="330"/>
      <c r="V16" s="330"/>
      <c r="W16" s="330"/>
      <c r="X16" s="330"/>
      <c r="Y16" s="330"/>
      <c r="Z16" s="330"/>
      <c r="AA16" s="330"/>
      <c r="AB16" s="330"/>
      <c r="AC16" s="330"/>
      <c r="AD16" s="330"/>
      <c r="AE16" s="330"/>
      <c r="AF16" s="127">
        <v>58</v>
      </c>
      <c r="AG16" s="330">
        <f>ROUND(+Motor!F21,-3)</f>
        <v>0</v>
      </c>
      <c r="AH16" s="330"/>
      <c r="AI16" s="330"/>
      <c r="AJ16" s="330"/>
      <c r="AK16" s="337"/>
      <c r="AL16" s="127">
        <v>74</v>
      </c>
      <c r="AM16" s="332">
        <f>ROUND(+Motor!F32,-3)</f>
        <v>0</v>
      </c>
      <c r="AN16" s="332"/>
      <c r="AO16" s="332"/>
      <c r="AP16" s="332"/>
      <c r="AQ16" s="332"/>
      <c r="AR16" s="332"/>
      <c r="AS16" s="332"/>
      <c r="AT16" s="114"/>
      <c r="AU16" s="114"/>
      <c r="AV16" s="114"/>
      <c r="AW16" s="114"/>
    </row>
    <row r="17" spans="1:49" ht="16.05" customHeight="1" x14ac:dyDescent="0.45">
      <c r="A17" s="415"/>
      <c r="B17" s="349" t="s">
        <v>466</v>
      </c>
      <c r="C17" s="349"/>
      <c r="D17" s="349"/>
      <c r="E17" s="349"/>
      <c r="F17" s="349"/>
      <c r="G17" s="349"/>
      <c r="H17" s="349"/>
      <c r="I17" s="333"/>
      <c r="J17" s="334"/>
      <c r="K17" s="334"/>
      <c r="L17" s="334"/>
      <c r="M17" s="334"/>
      <c r="N17" s="334"/>
      <c r="O17" s="334"/>
      <c r="P17" s="334"/>
      <c r="Q17" s="334"/>
      <c r="R17" s="334"/>
      <c r="S17" s="334"/>
      <c r="T17" s="334"/>
      <c r="U17" s="334"/>
      <c r="V17" s="334"/>
      <c r="W17" s="334"/>
      <c r="X17" s="334"/>
      <c r="Y17" s="334"/>
      <c r="Z17" s="334"/>
      <c r="AA17" s="334"/>
      <c r="AB17" s="334"/>
      <c r="AC17" s="334"/>
      <c r="AD17" s="334"/>
      <c r="AE17" s="334"/>
      <c r="AF17" s="334"/>
      <c r="AG17" s="334"/>
      <c r="AH17" s="334"/>
      <c r="AI17" s="334"/>
      <c r="AJ17" s="334"/>
      <c r="AK17" s="335"/>
      <c r="AL17" s="127">
        <v>75</v>
      </c>
      <c r="AM17" s="332">
        <v>0</v>
      </c>
      <c r="AN17" s="332"/>
      <c r="AO17" s="332"/>
      <c r="AP17" s="332"/>
      <c r="AQ17" s="332"/>
      <c r="AR17" s="332"/>
      <c r="AS17" s="332"/>
      <c r="AT17" s="114"/>
      <c r="AU17" s="114"/>
      <c r="AV17" s="114"/>
      <c r="AW17" s="114"/>
    </row>
    <row r="18" spans="1:49" ht="18" customHeight="1" x14ac:dyDescent="0.45">
      <c r="A18" s="415"/>
      <c r="B18" s="349" t="s">
        <v>467</v>
      </c>
      <c r="C18" s="349"/>
      <c r="D18" s="349"/>
      <c r="E18" s="349"/>
      <c r="F18" s="349"/>
      <c r="G18" s="349"/>
      <c r="H18" s="349"/>
      <c r="I18" s="127">
        <v>33</v>
      </c>
      <c r="J18" s="419">
        <f>ROUND(+Motor!F3,-3)</f>
        <v>0</v>
      </c>
      <c r="K18" s="420"/>
      <c r="L18" s="420"/>
      <c r="M18" s="420"/>
      <c r="N18" s="420"/>
      <c r="O18" s="420"/>
      <c r="P18" s="420"/>
      <c r="Q18" s="420"/>
      <c r="R18" s="127">
        <v>44</v>
      </c>
      <c r="S18" s="330">
        <f>ROUND(+Motor!F66,-3)</f>
        <v>0</v>
      </c>
      <c r="T18" s="330"/>
      <c r="U18" s="330"/>
      <c r="V18" s="330"/>
      <c r="W18" s="330"/>
      <c r="X18" s="330"/>
      <c r="Y18" s="330"/>
      <c r="Z18" s="330"/>
      <c r="AA18" s="330"/>
      <c r="AB18" s="330"/>
      <c r="AC18" s="330"/>
      <c r="AD18" s="330"/>
      <c r="AE18" s="337"/>
      <c r="AF18" s="127">
        <v>59</v>
      </c>
      <c r="AG18" s="330">
        <f>ROUND(+Motor!F22,-3)</f>
        <v>0</v>
      </c>
      <c r="AH18" s="330"/>
      <c r="AI18" s="330"/>
      <c r="AJ18" s="330"/>
      <c r="AK18" s="337"/>
      <c r="AL18" s="127">
        <v>76</v>
      </c>
      <c r="AM18" s="332">
        <f>ROUND(+Motor!F33,-3)</f>
        <v>0</v>
      </c>
      <c r="AN18" s="332"/>
      <c r="AO18" s="332"/>
      <c r="AP18" s="332"/>
      <c r="AQ18" s="332"/>
      <c r="AR18" s="332"/>
      <c r="AS18" s="332"/>
      <c r="AT18" s="264"/>
      <c r="AU18" s="263"/>
      <c r="AV18" s="114"/>
      <c r="AW18" s="114"/>
    </row>
    <row r="19" spans="1:49" ht="16.05" customHeight="1" x14ac:dyDescent="0.45">
      <c r="A19" s="415"/>
      <c r="B19" s="349" t="s">
        <v>468</v>
      </c>
      <c r="C19" s="349"/>
      <c r="D19" s="349"/>
      <c r="E19" s="349"/>
      <c r="F19" s="349"/>
      <c r="G19" s="349"/>
      <c r="H19" s="349"/>
      <c r="I19" s="182"/>
      <c r="J19" s="183"/>
      <c r="K19" s="183"/>
      <c r="L19" s="183"/>
      <c r="M19" s="183"/>
      <c r="N19" s="183"/>
      <c r="O19" s="183"/>
      <c r="P19" s="183"/>
      <c r="Q19" s="183"/>
      <c r="R19" s="127">
        <v>45</v>
      </c>
      <c r="S19" s="330">
        <f>ROUND(+Motor!F67,-3)</f>
        <v>0</v>
      </c>
      <c r="T19" s="330"/>
      <c r="U19" s="330"/>
      <c r="V19" s="330"/>
      <c r="W19" s="330"/>
      <c r="X19" s="330"/>
      <c r="Y19" s="330"/>
      <c r="Z19" s="330"/>
      <c r="AA19" s="330"/>
      <c r="AB19" s="330"/>
      <c r="AC19" s="330"/>
      <c r="AD19" s="330"/>
      <c r="AE19" s="337"/>
      <c r="AF19" s="127">
        <v>60</v>
      </c>
      <c r="AG19" s="338">
        <f>ROUND(+Motor!F24,-3)</f>
        <v>0</v>
      </c>
      <c r="AH19" s="338"/>
      <c r="AI19" s="338"/>
      <c r="AJ19" s="338"/>
      <c r="AK19" s="339"/>
      <c r="AL19" s="127">
        <v>77</v>
      </c>
      <c r="AM19" s="332">
        <f>ROUND(+Motor!F35,-3)</f>
        <v>0</v>
      </c>
      <c r="AN19" s="332"/>
      <c r="AO19" s="332"/>
      <c r="AP19" s="332"/>
      <c r="AQ19" s="332"/>
      <c r="AR19" s="332"/>
      <c r="AS19" s="332"/>
      <c r="AT19" s="114"/>
      <c r="AU19" s="114"/>
      <c r="AV19" s="114"/>
      <c r="AW19" s="114"/>
    </row>
    <row r="20" spans="1:49" x14ac:dyDescent="0.45">
      <c r="A20" s="415"/>
      <c r="B20" s="422" t="s">
        <v>208</v>
      </c>
      <c r="C20" s="423"/>
      <c r="D20" s="423"/>
      <c r="E20" s="423"/>
      <c r="F20" s="423"/>
      <c r="G20" s="423"/>
      <c r="H20" s="423"/>
      <c r="I20" s="184">
        <v>34</v>
      </c>
      <c r="J20" s="343">
        <f>ROUND(+J16-J18,-3)</f>
        <v>0</v>
      </c>
      <c r="K20" s="344"/>
      <c r="L20" s="344"/>
      <c r="M20" s="344"/>
      <c r="N20" s="344"/>
      <c r="O20" s="344"/>
      <c r="P20" s="344"/>
      <c r="Q20" s="344"/>
      <c r="R20" s="117">
        <v>46</v>
      </c>
      <c r="S20" s="331">
        <f>ROUND(+S16-S18-S19,-3)</f>
        <v>0</v>
      </c>
      <c r="T20" s="331"/>
      <c r="U20" s="331"/>
      <c r="V20" s="331"/>
      <c r="W20" s="331"/>
      <c r="X20" s="331"/>
      <c r="Y20" s="331"/>
      <c r="Z20" s="331"/>
      <c r="AA20" s="331"/>
      <c r="AB20" s="331"/>
      <c r="AC20" s="331"/>
      <c r="AD20" s="331"/>
      <c r="AE20" s="421"/>
      <c r="AF20" s="117">
        <v>61</v>
      </c>
      <c r="AG20" s="340">
        <f>+AG16-AG18-AG19</f>
        <v>0</v>
      </c>
      <c r="AH20" s="340"/>
      <c r="AI20" s="340"/>
      <c r="AJ20" s="340"/>
      <c r="AK20" s="341"/>
      <c r="AL20" s="117">
        <v>78</v>
      </c>
      <c r="AM20" s="342">
        <f>+AM16-AM17-AM18-AM19</f>
        <v>0</v>
      </c>
      <c r="AN20" s="342"/>
      <c r="AO20" s="342"/>
      <c r="AP20" s="342"/>
      <c r="AQ20" s="342"/>
      <c r="AR20" s="342"/>
      <c r="AS20" s="342"/>
      <c r="AT20" s="114"/>
      <c r="AU20" s="114"/>
      <c r="AV20" s="114"/>
      <c r="AW20" s="114"/>
    </row>
    <row r="21" spans="1:49" x14ac:dyDescent="0.45">
      <c r="A21" s="415"/>
      <c r="B21" s="347" t="s">
        <v>469</v>
      </c>
      <c r="C21" s="348"/>
      <c r="D21" s="348"/>
      <c r="E21" s="348"/>
      <c r="F21" s="348"/>
      <c r="G21" s="348"/>
      <c r="H21" s="348"/>
      <c r="I21" s="182"/>
      <c r="J21" s="335"/>
      <c r="K21" s="336"/>
      <c r="L21" s="336"/>
      <c r="M21" s="336"/>
      <c r="N21" s="336"/>
      <c r="O21" s="336"/>
      <c r="P21" s="336"/>
      <c r="Q21" s="336"/>
      <c r="R21" s="336"/>
      <c r="S21" s="336"/>
      <c r="T21" s="336"/>
      <c r="U21" s="336"/>
      <c r="V21" s="336"/>
      <c r="W21" s="336"/>
      <c r="X21" s="336"/>
      <c r="Y21" s="336"/>
      <c r="Z21" s="336"/>
      <c r="AA21" s="336"/>
      <c r="AB21" s="336"/>
      <c r="AC21" s="336"/>
      <c r="AD21" s="336"/>
      <c r="AE21" s="336"/>
      <c r="AF21" s="127">
        <v>62</v>
      </c>
      <c r="AG21" s="299"/>
      <c r="AH21" s="299"/>
      <c r="AI21" s="299"/>
      <c r="AJ21" s="299"/>
      <c r="AK21" s="323"/>
      <c r="AL21" s="127">
        <v>79</v>
      </c>
      <c r="AM21" s="332">
        <v>0</v>
      </c>
      <c r="AN21" s="332"/>
      <c r="AO21" s="332"/>
      <c r="AP21" s="332"/>
      <c r="AQ21" s="332"/>
      <c r="AR21" s="332"/>
      <c r="AS21" s="332"/>
      <c r="AT21" s="114"/>
      <c r="AU21" s="114"/>
      <c r="AV21" s="114"/>
      <c r="AW21" s="114"/>
    </row>
    <row r="22" spans="1:49" x14ac:dyDescent="0.45">
      <c r="A22" s="415"/>
      <c r="B22" s="350" t="s">
        <v>470</v>
      </c>
      <c r="C22" s="351" t="s">
        <v>471</v>
      </c>
      <c r="D22" s="351"/>
      <c r="E22" s="351"/>
      <c r="F22" s="351"/>
      <c r="G22" s="351"/>
      <c r="H22" s="351"/>
      <c r="I22" s="185">
        <v>35</v>
      </c>
      <c r="J22" s="338">
        <f>+Motor!F9</f>
        <v>0</v>
      </c>
      <c r="K22" s="338"/>
      <c r="L22" s="338"/>
      <c r="M22" s="338"/>
      <c r="N22" s="338"/>
      <c r="O22" s="338"/>
      <c r="P22" s="338"/>
      <c r="Q22" s="338"/>
      <c r="R22" s="127">
        <v>47</v>
      </c>
      <c r="S22" s="330">
        <f>ROUND(+Motor!F72,-3)</f>
        <v>0</v>
      </c>
      <c r="T22" s="330"/>
      <c r="U22" s="330"/>
      <c r="V22" s="330"/>
      <c r="W22" s="330"/>
      <c r="X22" s="330"/>
      <c r="Y22" s="330"/>
      <c r="Z22" s="330"/>
      <c r="AA22" s="330"/>
      <c r="AB22" s="330"/>
      <c r="AC22" s="330"/>
      <c r="AD22" s="330"/>
      <c r="AE22" s="330"/>
      <c r="AF22" s="127">
        <v>63</v>
      </c>
      <c r="AG22" s="299"/>
      <c r="AH22" s="299"/>
      <c r="AI22" s="299"/>
      <c r="AJ22" s="299"/>
      <c r="AK22" s="299"/>
      <c r="AL22" s="127">
        <v>80</v>
      </c>
      <c r="AM22" s="346"/>
      <c r="AN22" s="346"/>
      <c r="AO22" s="346"/>
      <c r="AP22" s="346"/>
      <c r="AQ22" s="346"/>
      <c r="AR22" s="346"/>
      <c r="AS22" s="346"/>
      <c r="AT22" s="114"/>
      <c r="AU22" s="114"/>
      <c r="AV22" s="263" t="s">
        <v>548</v>
      </c>
      <c r="AW22" s="114"/>
    </row>
    <row r="23" spans="1:49" x14ac:dyDescent="0.45">
      <c r="A23" s="415"/>
      <c r="B23" s="350"/>
      <c r="C23" s="351" t="s">
        <v>472</v>
      </c>
      <c r="D23" s="351"/>
      <c r="E23" s="351"/>
      <c r="F23" s="351"/>
      <c r="G23" s="351"/>
      <c r="H23" s="351"/>
      <c r="I23" s="127">
        <v>36</v>
      </c>
      <c r="J23" s="330">
        <f ca="1">+Motor!F12+Motor!F10+Motor!F13</f>
        <v>0</v>
      </c>
      <c r="K23" s="330"/>
      <c r="L23" s="330"/>
      <c r="M23" s="330"/>
      <c r="N23" s="330"/>
      <c r="O23" s="330"/>
      <c r="P23" s="330"/>
      <c r="Q23" s="330"/>
      <c r="R23" s="127">
        <v>48</v>
      </c>
      <c r="S23" s="330">
        <f>ROUND(+Motor!F73,-3)</f>
        <v>0</v>
      </c>
      <c r="T23" s="330"/>
      <c r="U23" s="330"/>
      <c r="V23" s="330"/>
      <c r="W23" s="330"/>
      <c r="X23" s="330"/>
      <c r="Y23" s="330"/>
      <c r="Z23" s="330"/>
      <c r="AA23" s="330"/>
      <c r="AB23" s="330"/>
      <c r="AC23" s="330"/>
      <c r="AD23" s="330"/>
      <c r="AE23" s="330"/>
      <c r="AF23" s="127">
        <v>64</v>
      </c>
      <c r="AG23" s="299"/>
      <c r="AH23" s="299"/>
      <c r="AI23" s="299"/>
      <c r="AJ23" s="299"/>
      <c r="AK23" s="299"/>
      <c r="AL23" s="127">
        <v>81</v>
      </c>
      <c r="AM23" s="346"/>
      <c r="AN23" s="346"/>
      <c r="AO23" s="346"/>
      <c r="AP23" s="346"/>
      <c r="AQ23" s="346"/>
      <c r="AR23" s="346"/>
      <c r="AS23" s="346"/>
      <c r="AT23" s="114"/>
      <c r="AU23" s="114"/>
      <c r="AV23" s="114"/>
      <c r="AW23" s="114"/>
    </row>
    <row r="24" spans="1:49" x14ac:dyDescent="0.45">
      <c r="A24" s="415"/>
      <c r="B24" s="350"/>
      <c r="C24" s="352" t="s">
        <v>473</v>
      </c>
      <c r="D24" s="352"/>
      <c r="E24" s="352"/>
      <c r="F24" s="352"/>
      <c r="G24" s="352"/>
      <c r="H24" s="352"/>
      <c r="I24" s="117">
        <v>37</v>
      </c>
      <c r="J24" s="353">
        <f ca="1">+J22+J23</f>
        <v>0</v>
      </c>
      <c r="K24" s="353"/>
      <c r="L24" s="353"/>
      <c r="M24" s="353"/>
      <c r="N24" s="353"/>
      <c r="O24" s="353"/>
      <c r="P24" s="353"/>
      <c r="Q24" s="353"/>
      <c r="R24" s="117">
        <v>49</v>
      </c>
      <c r="S24" s="331">
        <f>+S22+S23</f>
        <v>0</v>
      </c>
      <c r="T24" s="331"/>
      <c r="U24" s="331"/>
      <c r="V24" s="331"/>
      <c r="W24" s="331"/>
      <c r="X24" s="331"/>
      <c r="Y24" s="331"/>
      <c r="Z24" s="331"/>
      <c r="AA24" s="331"/>
      <c r="AB24" s="331"/>
      <c r="AC24" s="331"/>
      <c r="AD24" s="331"/>
      <c r="AE24" s="331"/>
      <c r="AF24" s="117">
        <v>65</v>
      </c>
      <c r="AG24" s="345"/>
      <c r="AH24" s="345"/>
      <c r="AI24" s="345"/>
      <c r="AJ24" s="345"/>
      <c r="AK24" s="345"/>
      <c r="AL24" s="117">
        <v>82</v>
      </c>
      <c r="AM24" s="404"/>
      <c r="AN24" s="404"/>
      <c r="AO24" s="404"/>
      <c r="AP24" s="404"/>
      <c r="AQ24" s="404"/>
      <c r="AR24" s="404"/>
      <c r="AS24" s="404"/>
      <c r="AT24" s="114"/>
      <c r="AU24" s="114"/>
      <c r="AV24" s="114"/>
      <c r="AW24" s="114"/>
    </row>
    <row r="25" spans="1:49" x14ac:dyDescent="0.45">
      <c r="A25" s="415"/>
      <c r="B25" s="350" t="s">
        <v>474</v>
      </c>
      <c r="C25" s="351" t="s">
        <v>475</v>
      </c>
      <c r="D25" s="351"/>
      <c r="E25" s="351"/>
      <c r="F25" s="351"/>
      <c r="G25" s="351"/>
      <c r="H25" s="351"/>
      <c r="I25" s="127">
        <v>38</v>
      </c>
      <c r="J25" s="330">
        <f>ROUND(+Motor!F7,-3)</f>
        <v>0</v>
      </c>
      <c r="K25" s="330"/>
      <c r="L25" s="330"/>
      <c r="M25" s="330"/>
      <c r="N25" s="330"/>
      <c r="O25" s="330"/>
      <c r="P25" s="330"/>
      <c r="Q25" s="330"/>
      <c r="R25" s="127">
        <v>50</v>
      </c>
      <c r="S25" s="330">
        <f>ROUND(+Motor!F70,-3)</f>
        <v>0</v>
      </c>
      <c r="T25" s="330"/>
      <c r="U25" s="330"/>
      <c r="V25" s="330"/>
      <c r="W25" s="330"/>
      <c r="X25" s="330"/>
      <c r="Y25" s="330"/>
      <c r="Z25" s="330"/>
      <c r="AA25" s="330"/>
      <c r="AB25" s="330"/>
      <c r="AC25" s="330"/>
      <c r="AD25" s="330"/>
      <c r="AE25" s="330"/>
      <c r="AF25" s="127">
        <v>66</v>
      </c>
      <c r="AG25" s="299"/>
      <c r="AH25" s="299"/>
      <c r="AI25" s="299"/>
      <c r="AJ25" s="299"/>
      <c r="AK25" s="299"/>
      <c r="AL25" s="127">
        <v>83</v>
      </c>
      <c r="AM25" s="346"/>
      <c r="AN25" s="346"/>
      <c r="AO25" s="346"/>
      <c r="AP25" s="346"/>
      <c r="AQ25" s="346"/>
      <c r="AR25" s="346"/>
      <c r="AS25" s="346"/>
      <c r="AT25" s="114"/>
      <c r="AU25" s="114"/>
      <c r="AV25" s="114"/>
      <c r="AW25" s="114"/>
    </row>
    <row r="26" spans="1:49" x14ac:dyDescent="0.45">
      <c r="A26" s="415"/>
      <c r="B26" s="350"/>
      <c r="C26" s="424" t="s">
        <v>476</v>
      </c>
      <c r="D26" s="424"/>
      <c r="E26" s="424"/>
      <c r="F26" s="424"/>
      <c r="G26" s="424"/>
      <c r="H26" s="424"/>
      <c r="I26" s="127">
        <v>39</v>
      </c>
      <c r="J26" s="330">
        <f>+Motor!F6+Motor!F8</f>
        <v>0</v>
      </c>
      <c r="K26" s="330"/>
      <c r="L26" s="330"/>
      <c r="M26" s="330"/>
      <c r="N26" s="330"/>
      <c r="O26" s="330"/>
      <c r="P26" s="330"/>
      <c r="Q26" s="330"/>
      <c r="R26" s="127">
        <v>51</v>
      </c>
      <c r="S26" s="330">
        <f>ROUND(+Motor!F69,-3)</f>
        <v>0</v>
      </c>
      <c r="T26" s="330"/>
      <c r="U26" s="330"/>
      <c r="V26" s="330"/>
      <c r="W26" s="330"/>
      <c r="X26" s="330"/>
      <c r="Y26" s="330"/>
      <c r="Z26" s="330"/>
      <c r="AA26" s="330"/>
      <c r="AB26" s="330"/>
      <c r="AC26" s="330"/>
      <c r="AD26" s="330"/>
      <c r="AE26" s="330"/>
      <c r="AF26" s="127">
        <v>67</v>
      </c>
      <c r="AG26" s="299"/>
      <c r="AH26" s="299"/>
      <c r="AI26" s="299"/>
      <c r="AJ26" s="299"/>
      <c r="AK26" s="299"/>
      <c r="AL26" s="127">
        <v>84</v>
      </c>
      <c r="AM26" s="346"/>
      <c r="AN26" s="346"/>
      <c r="AO26" s="346"/>
      <c r="AP26" s="346"/>
      <c r="AQ26" s="346"/>
      <c r="AR26" s="346"/>
      <c r="AS26" s="346"/>
      <c r="AT26" s="114"/>
      <c r="AU26" s="114"/>
      <c r="AV26" s="114"/>
      <c r="AW26" s="114"/>
    </row>
    <row r="27" spans="1:49" x14ac:dyDescent="0.45">
      <c r="A27" s="415"/>
      <c r="B27" s="350"/>
      <c r="C27" s="425" t="s">
        <v>477</v>
      </c>
      <c r="D27" s="425"/>
      <c r="E27" s="425"/>
      <c r="F27" s="425"/>
      <c r="G27" s="425"/>
      <c r="H27" s="425"/>
      <c r="I27" s="117">
        <v>40</v>
      </c>
      <c r="J27" s="331">
        <f ca="1">ROUND(+Motor!F14,-3)</f>
        <v>0</v>
      </c>
      <c r="K27" s="331"/>
      <c r="L27" s="331"/>
      <c r="M27" s="331"/>
      <c r="N27" s="331"/>
      <c r="O27" s="331"/>
      <c r="P27" s="331"/>
      <c r="Q27" s="331"/>
      <c r="R27" s="117">
        <v>52</v>
      </c>
      <c r="S27" s="331">
        <f>ROUND(+Motor!F75,-3)</f>
        <v>0</v>
      </c>
      <c r="T27" s="331"/>
      <c r="U27" s="331"/>
      <c r="V27" s="331"/>
      <c r="W27" s="331"/>
      <c r="X27" s="331"/>
      <c r="Y27" s="331"/>
      <c r="Z27" s="331"/>
      <c r="AA27" s="331"/>
      <c r="AB27" s="331"/>
      <c r="AC27" s="331"/>
      <c r="AD27" s="331"/>
      <c r="AE27" s="331"/>
      <c r="AF27" s="117">
        <v>68</v>
      </c>
      <c r="AG27" s="345">
        <f>ROUND(+Motor!F25,-3)</f>
        <v>0</v>
      </c>
      <c r="AH27" s="345"/>
      <c r="AI27" s="345"/>
      <c r="AJ27" s="345"/>
      <c r="AK27" s="345"/>
      <c r="AL27" s="117">
        <v>85</v>
      </c>
      <c r="AM27" s="428">
        <f>ROUND(+Motor!F36,-3)</f>
        <v>0</v>
      </c>
      <c r="AN27" s="428"/>
      <c r="AO27" s="428"/>
      <c r="AP27" s="428"/>
      <c r="AQ27" s="428"/>
      <c r="AR27" s="428"/>
      <c r="AS27" s="428"/>
      <c r="AT27" s="114"/>
      <c r="AU27" s="114"/>
      <c r="AV27" s="114"/>
      <c r="AW27" s="114"/>
    </row>
    <row r="28" spans="1:49" ht="25.5" customHeight="1" x14ac:dyDescent="0.45">
      <c r="A28" s="415"/>
      <c r="B28" s="426" t="s">
        <v>478</v>
      </c>
      <c r="C28" s="426"/>
      <c r="D28" s="426"/>
      <c r="E28" s="426"/>
      <c r="F28" s="426"/>
      <c r="G28" s="426"/>
      <c r="H28" s="426"/>
      <c r="I28" s="181">
        <v>41</v>
      </c>
      <c r="J28" s="331">
        <f ca="1">ROUND(+Motor!H15,-3)</f>
        <v>0</v>
      </c>
      <c r="K28" s="331"/>
      <c r="L28" s="331"/>
      <c r="M28" s="331"/>
      <c r="N28" s="331"/>
      <c r="O28" s="331"/>
      <c r="P28" s="331"/>
      <c r="Q28" s="331"/>
      <c r="R28" s="117">
        <v>53</v>
      </c>
      <c r="S28" s="331">
        <f>ROUND(+Motor!F76,-3)</f>
        <v>0</v>
      </c>
      <c r="T28" s="331"/>
      <c r="U28" s="331"/>
      <c r="V28" s="331"/>
      <c r="W28" s="331"/>
      <c r="X28" s="331"/>
      <c r="Y28" s="331"/>
      <c r="Z28" s="331"/>
      <c r="AA28" s="331"/>
      <c r="AB28" s="331"/>
      <c r="AC28" s="331"/>
      <c r="AD28" s="331"/>
      <c r="AE28" s="331"/>
      <c r="AF28" s="117">
        <v>69</v>
      </c>
      <c r="AG28" s="345">
        <f>ROUND(+Motor!F26,-3)</f>
        <v>0</v>
      </c>
      <c r="AH28" s="345"/>
      <c r="AI28" s="345"/>
      <c r="AJ28" s="345"/>
      <c r="AK28" s="345"/>
      <c r="AL28" s="117">
        <v>86</v>
      </c>
      <c r="AM28" s="428">
        <f>ROUND(+Motor!F37,-3)</f>
        <v>0</v>
      </c>
      <c r="AN28" s="428"/>
      <c r="AO28" s="428"/>
      <c r="AP28" s="428"/>
      <c r="AQ28" s="428"/>
      <c r="AR28" s="428"/>
      <c r="AS28" s="428"/>
      <c r="AT28" s="114"/>
      <c r="AU28" s="114"/>
      <c r="AV28" s="114"/>
      <c r="AW28" s="114"/>
    </row>
    <row r="29" spans="1:49" x14ac:dyDescent="0.45">
      <c r="A29" s="415"/>
      <c r="B29" s="426" t="s">
        <v>479</v>
      </c>
      <c r="C29" s="426"/>
      <c r="D29" s="426"/>
      <c r="E29" s="426"/>
      <c r="F29" s="426"/>
      <c r="G29" s="426"/>
      <c r="H29" s="426"/>
      <c r="I29" s="186"/>
      <c r="J29" s="186"/>
      <c r="K29" s="186"/>
      <c r="L29" s="186"/>
      <c r="M29" s="186"/>
      <c r="N29" s="186"/>
      <c r="O29" s="186"/>
      <c r="P29" s="186"/>
      <c r="Q29" s="186"/>
      <c r="R29" s="117">
        <v>54</v>
      </c>
      <c r="S29" s="330">
        <f>+S20-S28</f>
        <v>0</v>
      </c>
      <c r="T29" s="330"/>
      <c r="U29" s="330"/>
      <c r="V29" s="330"/>
      <c r="W29" s="330"/>
      <c r="X29" s="330"/>
      <c r="Y29" s="330"/>
      <c r="Z29" s="330"/>
      <c r="AA29" s="330"/>
      <c r="AB29" s="330"/>
      <c r="AC29" s="330"/>
      <c r="AD29" s="330"/>
      <c r="AE29" s="330"/>
      <c r="AF29" s="117">
        <v>70</v>
      </c>
      <c r="AG29" s="330">
        <f>+IF(AG20-AG28&gt;0,AG20-AG28,0)</f>
        <v>0</v>
      </c>
      <c r="AH29" s="330"/>
      <c r="AI29" s="330"/>
      <c r="AJ29" s="330"/>
      <c r="AK29" s="330"/>
      <c r="AL29" s="117">
        <v>87</v>
      </c>
      <c r="AM29" s="332">
        <f>+IF(AM20-AM28&gt;0,AM20-AM28,0)</f>
        <v>0</v>
      </c>
      <c r="AN29" s="332"/>
      <c r="AO29" s="332"/>
      <c r="AP29" s="332"/>
      <c r="AQ29" s="332"/>
      <c r="AR29" s="332"/>
      <c r="AS29" s="332"/>
      <c r="AT29" s="114"/>
      <c r="AU29" s="114"/>
      <c r="AV29" s="114"/>
      <c r="AW29" s="114"/>
    </row>
    <row r="30" spans="1:49" x14ac:dyDescent="0.45">
      <c r="A30" s="415"/>
      <c r="B30" s="426" t="s">
        <v>480</v>
      </c>
      <c r="C30" s="426"/>
      <c r="D30" s="426"/>
      <c r="E30" s="426"/>
      <c r="F30" s="426"/>
      <c r="G30" s="426"/>
      <c r="H30" s="426"/>
      <c r="I30" s="186"/>
      <c r="J30" s="186"/>
      <c r="K30" s="186"/>
      <c r="L30" s="186"/>
      <c r="M30" s="186"/>
      <c r="N30" s="186"/>
      <c r="O30" s="186"/>
      <c r="P30" s="186"/>
      <c r="Q30" s="186"/>
      <c r="R30" s="117">
        <v>55</v>
      </c>
      <c r="S30" s="330">
        <f>+IF(S20&lt;S28,S28-S20,0)</f>
        <v>0</v>
      </c>
      <c r="T30" s="330"/>
      <c r="U30" s="330"/>
      <c r="V30" s="330"/>
      <c r="W30" s="330"/>
      <c r="X30" s="330"/>
      <c r="Y30" s="330"/>
      <c r="Z30" s="330"/>
      <c r="AA30" s="330"/>
      <c r="AB30" s="330"/>
      <c r="AC30" s="330"/>
      <c r="AD30" s="330"/>
      <c r="AE30" s="330"/>
      <c r="AF30" s="117">
        <v>71</v>
      </c>
      <c r="AG30" s="338">
        <f>+IF(AG20-AG28&lt;0,AG20-AG28,0)</f>
        <v>0</v>
      </c>
      <c r="AH30" s="338"/>
      <c r="AI30" s="338"/>
      <c r="AJ30" s="338"/>
      <c r="AK30" s="338"/>
      <c r="AL30" s="117">
        <v>88</v>
      </c>
      <c r="AM30" s="332">
        <f>+IF(AM20-AM28&lt;0,AM20-AM28,0)</f>
        <v>0</v>
      </c>
      <c r="AN30" s="332"/>
      <c r="AO30" s="332"/>
      <c r="AP30" s="332"/>
      <c r="AQ30" s="332"/>
      <c r="AR30" s="332"/>
      <c r="AS30" s="332"/>
      <c r="AT30" s="114"/>
      <c r="AU30" s="114"/>
      <c r="AV30" s="114"/>
      <c r="AW30" s="114"/>
    </row>
    <row r="31" spans="1:49" x14ac:dyDescent="0.45">
      <c r="A31" s="415"/>
      <c r="B31" s="424" t="s">
        <v>481</v>
      </c>
      <c r="C31" s="424"/>
      <c r="D31" s="424"/>
      <c r="E31" s="424"/>
      <c r="F31" s="424"/>
      <c r="G31" s="424"/>
      <c r="H31" s="424"/>
      <c r="I31" s="186"/>
      <c r="J31" s="186"/>
      <c r="K31" s="186"/>
      <c r="L31" s="186"/>
      <c r="M31" s="186"/>
      <c r="N31" s="186"/>
      <c r="O31" s="186"/>
      <c r="P31" s="186"/>
      <c r="Q31" s="186"/>
      <c r="R31" s="127">
        <v>56</v>
      </c>
      <c r="S31" s="330">
        <v>0</v>
      </c>
      <c r="T31" s="330"/>
      <c r="U31" s="330"/>
      <c r="V31" s="330"/>
      <c r="W31" s="330"/>
      <c r="X31" s="330"/>
      <c r="Y31" s="330"/>
      <c r="Z31" s="330"/>
      <c r="AA31" s="330"/>
      <c r="AB31" s="330"/>
      <c r="AC31" s="330"/>
      <c r="AD31" s="330"/>
      <c r="AE31" s="330"/>
      <c r="AF31" s="127">
        <v>72</v>
      </c>
      <c r="AG31" s="299"/>
      <c r="AH31" s="299"/>
      <c r="AI31" s="299"/>
      <c r="AJ31" s="299"/>
      <c r="AK31" s="299"/>
      <c r="AL31" s="127">
        <v>89</v>
      </c>
      <c r="AM31" s="346"/>
      <c r="AN31" s="346"/>
      <c r="AO31" s="346"/>
      <c r="AP31" s="346"/>
      <c r="AQ31" s="346"/>
      <c r="AR31" s="346"/>
      <c r="AS31" s="346"/>
      <c r="AT31" s="114"/>
      <c r="AU31" s="114"/>
      <c r="AV31" s="263" t="s">
        <v>580</v>
      </c>
      <c r="AW31" s="114"/>
    </row>
    <row r="32" spans="1:49" x14ac:dyDescent="0.45">
      <c r="A32" s="415"/>
      <c r="B32" s="426" t="s">
        <v>482</v>
      </c>
      <c r="C32" s="426"/>
      <c r="D32" s="426"/>
      <c r="E32" s="426"/>
      <c r="F32" s="426"/>
      <c r="G32" s="426"/>
      <c r="H32" s="426"/>
      <c r="I32" s="117">
        <v>42</v>
      </c>
      <c r="J32" s="427">
        <f ca="1">+J20-J28</f>
        <v>0</v>
      </c>
      <c r="K32" s="299"/>
      <c r="L32" s="299"/>
      <c r="M32" s="299"/>
      <c r="N32" s="299"/>
      <c r="O32" s="299"/>
      <c r="P32" s="299"/>
      <c r="Q32" s="299"/>
      <c r="R32" s="117">
        <v>57</v>
      </c>
      <c r="S32" s="330">
        <f>+S29-S31</f>
        <v>0</v>
      </c>
      <c r="T32" s="330"/>
      <c r="U32" s="330"/>
      <c r="V32" s="330"/>
      <c r="W32" s="330"/>
      <c r="X32" s="330"/>
      <c r="Y32" s="330"/>
      <c r="Z32" s="330"/>
      <c r="AA32" s="330"/>
      <c r="AB32" s="330"/>
      <c r="AC32" s="330"/>
      <c r="AD32" s="330"/>
      <c r="AE32" s="330"/>
      <c r="AF32" s="117">
        <v>73</v>
      </c>
      <c r="AG32" s="427">
        <f>+AG29-AG31</f>
        <v>0</v>
      </c>
      <c r="AH32" s="299"/>
      <c r="AI32" s="299"/>
      <c r="AJ32" s="299"/>
      <c r="AK32" s="299"/>
      <c r="AL32" s="117">
        <v>90</v>
      </c>
      <c r="AM32" s="346">
        <f>+AM29-AM31</f>
        <v>0</v>
      </c>
      <c r="AN32" s="346"/>
      <c r="AO32" s="346"/>
      <c r="AP32" s="346"/>
      <c r="AQ32" s="346"/>
      <c r="AR32" s="346"/>
      <c r="AS32" s="346"/>
      <c r="AT32" s="114"/>
      <c r="AU32" s="114"/>
      <c r="AV32" s="114"/>
      <c r="AW32" s="114"/>
    </row>
    <row r="33" spans="1:49" ht="25.05" customHeight="1" x14ac:dyDescent="0.45">
      <c r="A33" s="415"/>
      <c r="B33" s="352" t="s">
        <v>483</v>
      </c>
      <c r="C33" s="352"/>
      <c r="D33" s="352"/>
      <c r="E33" s="352"/>
      <c r="F33" s="352"/>
      <c r="G33" s="117">
        <v>91</v>
      </c>
      <c r="H33" s="337">
        <f>+J20+S20+AG20+AM20</f>
        <v>0</v>
      </c>
      <c r="I33" s="439"/>
      <c r="J33" s="439"/>
      <c r="K33" s="440"/>
      <c r="L33" s="444" t="s">
        <v>485</v>
      </c>
      <c r="M33" s="445"/>
      <c r="N33" s="445"/>
      <c r="O33" s="445"/>
      <c r="P33" s="117">
        <v>92</v>
      </c>
      <c r="Q33" s="330">
        <f ca="1">+J28+S28+AG28+AM28</f>
        <v>0</v>
      </c>
      <c r="R33" s="330"/>
      <c r="S33" s="330"/>
      <c r="T33" s="330"/>
      <c r="U33" s="330"/>
      <c r="V33" s="330"/>
      <c r="W33" s="330"/>
      <c r="X33" s="330"/>
      <c r="Y33" s="473" t="s">
        <v>487</v>
      </c>
      <c r="Z33" s="474"/>
      <c r="AA33" s="474"/>
      <c r="AB33" s="474"/>
      <c r="AC33" s="474"/>
      <c r="AD33" s="117">
        <v>93</v>
      </c>
      <c r="AE33" s="427">
        <f ca="1">+H33-Q33</f>
        <v>0</v>
      </c>
      <c r="AF33" s="299"/>
      <c r="AG33" s="299"/>
      <c r="AH33" s="299"/>
      <c r="AI33" s="299"/>
      <c r="AJ33" s="299"/>
      <c r="AK33" s="430" t="s">
        <v>489</v>
      </c>
      <c r="AL33" s="430"/>
      <c r="AM33" s="430"/>
      <c r="AN33" s="430"/>
      <c r="AO33" s="127">
        <v>94</v>
      </c>
      <c r="AP33" s="338">
        <f>+S31+AG31+AM31</f>
        <v>0</v>
      </c>
      <c r="AQ33" s="338"/>
      <c r="AR33" s="338"/>
      <c r="AS33" s="338"/>
      <c r="AT33" s="114"/>
      <c r="AU33" s="114"/>
      <c r="AV33" s="114"/>
      <c r="AW33" s="114"/>
    </row>
    <row r="34" spans="1:49" ht="23.55" customHeight="1" thickBot="1" x14ac:dyDescent="0.5">
      <c r="A34" s="416"/>
      <c r="B34" s="438" t="s">
        <v>484</v>
      </c>
      <c r="C34" s="438"/>
      <c r="D34" s="438"/>
      <c r="E34" s="438"/>
      <c r="F34" s="438"/>
      <c r="G34" s="187">
        <v>95</v>
      </c>
      <c r="H34" s="441"/>
      <c r="I34" s="442"/>
      <c r="J34" s="442"/>
      <c r="K34" s="443"/>
      <c r="L34" s="446" t="s">
        <v>486</v>
      </c>
      <c r="M34" s="446"/>
      <c r="N34" s="446"/>
      <c r="O34" s="446"/>
      <c r="P34" s="187">
        <v>96</v>
      </c>
      <c r="Q34" s="447">
        <f>ROUND(+Motor!F41+Motor!F42+Motor!F43,-3)</f>
        <v>0</v>
      </c>
      <c r="R34" s="447"/>
      <c r="S34" s="447"/>
      <c r="T34" s="447"/>
      <c r="U34" s="447"/>
      <c r="V34" s="447"/>
      <c r="W34" s="447"/>
      <c r="X34" s="447"/>
      <c r="Y34" s="475" t="s">
        <v>488</v>
      </c>
      <c r="Z34" s="475"/>
      <c r="AA34" s="475"/>
      <c r="AB34" s="475"/>
      <c r="AC34" s="475"/>
      <c r="AD34" s="184">
        <v>97</v>
      </c>
      <c r="AE34" s="429">
        <f ca="1">+AE33-AP33-H34+Q34</f>
        <v>0</v>
      </c>
      <c r="AF34" s="429"/>
      <c r="AG34" s="429"/>
      <c r="AH34" s="429"/>
      <c r="AI34" s="429"/>
      <c r="AJ34" s="429"/>
      <c r="AK34" s="431" t="s">
        <v>490</v>
      </c>
      <c r="AL34" s="431"/>
      <c r="AM34" s="431"/>
      <c r="AN34" s="431"/>
      <c r="AO34" s="187">
        <v>98</v>
      </c>
      <c r="AP34" s="429">
        <f>ROUND(+Motor!B44,-3)</f>
        <v>0</v>
      </c>
      <c r="AQ34" s="429"/>
      <c r="AR34" s="429"/>
      <c r="AS34" s="429"/>
      <c r="AT34" s="114"/>
      <c r="AU34" s="114"/>
      <c r="AV34" s="114"/>
      <c r="AW34" s="114"/>
    </row>
    <row r="35" spans="1:49" ht="14.65" thickBot="1" x14ac:dyDescent="0.5">
      <c r="A35" s="448" t="s">
        <v>136</v>
      </c>
      <c r="B35" s="449"/>
      <c r="C35" s="454" t="s">
        <v>491</v>
      </c>
      <c r="D35" s="455"/>
      <c r="E35" s="455"/>
      <c r="F35" s="455"/>
      <c r="G35" s="455"/>
      <c r="H35" s="455"/>
      <c r="I35" s="455"/>
      <c r="J35" s="455"/>
      <c r="K35" s="455"/>
      <c r="L35" s="455"/>
      <c r="M35" s="456"/>
      <c r="N35" s="188">
        <v>99</v>
      </c>
      <c r="O35" s="464">
        <f>ROUND(+Motor!K19,-3)</f>
        <v>0</v>
      </c>
      <c r="P35" s="465"/>
      <c r="Q35" s="465"/>
      <c r="R35" s="465"/>
      <c r="S35" s="465"/>
      <c r="T35" s="465"/>
      <c r="U35" s="465"/>
      <c r="V35" s="465"/>
      <c r="W35" s="465"/>
      <c r="X35" s="465"/>
      <c r="Y35" s="465"/>
      <c r="Z35" s="465"/>
      <c r="AA35" s="466"/>
      <c r="AB35" s="432" t="s">
        <v>494</v>
      </c>
      <c r="AC35" s="433"/>
      <c r="AD35" s="433"/>
      <c r="AE35" s="433"/>
      <c r="AF35" s="433"/>
      <c r="AG35" s="433"/>
      <c r="AH35" s="433"/>
      <c r="AI35" s="433"/>
      <c r="AJ35" s="434"/>
      <c r="AK35" s="189">
        <v>116</v>
      </c>
      <c r="AL35" s="435">
        <f>+O47-O48-O49-O50-O51</f>
        <v>0</v>
      </c>
      <c r="AM35" s="436"/>
      <c r="AN35" s="436"/>
      <c r="AO35" s="436"/>
      <c r="AP35" s="436"/>
      <c r="AQ35" s="436"/>
      <c r="AR35" s="436"/>
      <c r="AS35" s="437"/>
      <c r="AT35" s="114"/>
      <c r="AU35" s="114"/>
      <c r="AV35" s="114"/>
      <c r="AW35" s="114"/>
    </row>
    <row r="36" spans="1:49" x14ac:dyDescent="0.45">
      <c r="A36" s="450"/>
      <c r="B36" s="451"/>
      <c r="C36" s="457" t="s">
        <v>467</v>
      </c>
      <c r="D36" s="348"/>
      <c r="E36" s="348"/>
      <c r="F36" s="348"/>
      <c r="G36" s="348"/>
      <c r="H36" s="348"/>
      <c r="I36" s="348"/>
      <c r="J36" s="348"/>
      <c r="K36" s="348"/>
      <c r="L36" s="348"/>
      <c r="M36" s="458"/>
      <c r="N36" s="190">
        <v>100</v>
      </c>
      <c r="O36" s="467">
        <f>ROUND(+Motor!K20,-3)</f>
        <v>0</v>
      </c>
      <c r="P36" s="332"/>
      <c r="Q36" s="332"/>
      <c r="R36" s="332"/>
      <c r="S36" s="332"/>
      <c r="T36" s="332"/>
      <c r="U36" s="332"/>
      <c r="V36" s="332"/>
      <c r="W36" s="332"/>
      <c r="X36" s="332"/>
      <c r="Y36" s="332"/>
      <c r="Z36" s="332"/>
      <c r="AA36" s="468"/>
      <c r="AB36" s="481" t="s">
        <v>329</v>
      </c>
      <c r="AC36" s="484" t="s">
        <v>495</v>
      </c>
      <c r="AD36" s="487" t="s">
        <v>496</v>
      </c>
      <c r="AE36" s="488"/>
      <c r="AF36" s="488"/>
      <c r="AG36" s="488"/>
      <c r="AH36" s="488"/>
      <c r="AI36" s="488"/>
      <c r="AJ36" s="489"/>
      <c r="AK36" s="191">
        <v>117</v>
      </c>
      <c r="AL36" s="476">
        <f ca="1">+ROUND(+IF(AE34&gt;Motor!B44,'Tabla Tarifas'!I2+'Tabla Tarifas'!I14,0),-3)</f>
        <v>0</v>
      </c>
      <c r="AM36" s="477"/>
      <c r="AN36" s="477"/>
      <c r="AO36" s="477"/>
      <c r="AP36" s="477"/>
      <c r="AQ36" s="477"/>
      <c r="AR36" s="477"/>
      <c r="AS36" s="478"/>
      <c r="AT36" s="114"/>
      <c r="AU36" s="114"/>
      <c r="AV36" s="114"/>
      <c r="AW36" s="114"/>
    </row>
    <row r="37" spans="1:49" x14ac:dyDescent="0.45">
      <c r="A37" s="450"/>
      <c r="B37" s="451"/>
      <c r="C37" s="459" t="s">
        <v>208</v>
      </c>
      <c r="D37" s="423"/>
      <c r="E37" s="423"/>
      <c r="F37" s="423"/>
      <c r="G37" s="423"/>
      <c r="H37" s="423"/>
      <c r="I37" s="423"/>
      <c r="J37" s="423"/>
      <c r="K37" s="423"/>
      <c r="L37" s="423"/>
      <c r="M37" s="460"/>
      <c r="N37" s="192">
        <v>101</v>
      </c>
      <c r="O37" s="469">
        <f>+O35-O36</f>
        <v>0</v>
      </c>
      <c r="P37" s="346"/>
      <c r="Q37" s="346"/>
      <c r="R37" s="346"/>
      <c r="S37" s="346"/>
      <c r="T37" s="346"/>
      <c r="U37" s="346"/>
      <c r="V37" s="346"/>
      <c r="W37" s="346"/>
      <c r="X37" s="346"/>
      <c r="Y37" s="346"/>
      <c r="Z37" s="346"/>
      <c r="AA37" s="470"/>
      <c r="AB37" s="482"/>
      <c r="AC37" s="485"/>
      <c r="AD37" s="490" t="s">
        <v>497</v>
      </c>
      <c r="AE37" s="351"/>
      <c r="AF37" s="351"/>
      <c r="AG37" s="351"/>
      <c r="AH37" s="351"/>
      <c r="AI37" s="351"/>
      <c r="AJ37" s="491"/>
      <c r="AK37" s="193">
        <v>118</v>
      </c>
      <c r="AL37" s="479">
        <f ca="1">+ROUND(+IF(AP34&gt;AE34,'Tabla Tarifas'!I14+Motor!B45,0),-3)</f>
        <v>0</v>
      </c>
      <c r="AM37" s="330"/>
      <c r="AN37" s="330"/>
      <c r="AO37" s="330"/>
      <c r="AP37" s="330"/>
      <c r="AQ37" s="330"/>
      <c r="AR37" s="330"/>
      <c r="AS37" s="480"/>
      <c r="AT37" s="114"/>
      <c r="AU37" s="114"/>
      <c r="AV37" s="114"/>
      <c r="AW37" s="114"/>
    </row>
    <row r="38" spans="1:49" x14ac:dyDescent="0.45">
      <c r="A38" s="450"/>
      <c r="B38" s="451"/>
      <c r="C38" s="457" t="s">
        <v>492</v>
      </c>
      <c r="D38" s="348"/>
      <c r="E38" s="348"/>
      <c r="F38" s="348"/>
      <c r="G38" s="348"/>
      <c r="H38" s="348"/>
      <c r="I38" s="348"/>
      <c r="J38" s="348"/>
      <c r="K38" s="348"/>
      <c r="L38" s="348"/>
      <c r="M38" s="458"/>
      <c r="N38" s="190">
        <v>102</v>
      </c>
      <c r="O38" s="467">
        <f>ROUND(+Motor!K22,-3)</f>
        <v>0</v>
      </c>
      <c r="P38" s="332"/>
      <c r="Q38" s="332"/>
      <c r="R38" s="332"/>
      <c r="S38" s="332"/>
      <c r="T38" s="332"/>
      <c r="U38" s="332"/>
      <c r="V38" s="332"/>
      <c r="W38" s="332"/>
      <c r="X38" s="332"/>
      <c r="Y38" s="332"/>
      <c r="Z38" s="332"/>
      <c r="AA38" s="468"/>
      <c r="AB38" s="482"/>
      <c r="AC38" s="485"/>
      <c r="AD38" s="492" t="s">
        <v>498</v>
      </c>
      <c r="AE38" s="493"/>
      <c r="AF38" s="493"/>
      <c r="AG38" s="493"/>
      <c r="AH38" s="493"/>
      <c r="AI38" s="493"/>
      <c r="AJ38" s="494"/>
      <c r="AK38" s="193">
        <v>119</v>
      </c>
      <c r="AL38" s="479"/>
      <c r="AM38" s="330"/>
      <c r="AN38" s="330"/>
      <c r="AO38" s="330"/>
      <c r="AP38" s="330"/>
      <c r="AQ38" s="330"/>
      <c r="AR38" s="330"/>
      <c r="AS38" s="480"/>
      <c r="AT38" s="114"/>
      <c r="AU38" s="114"/>
      <c r="AV38" s="114"/>
      <c r="AW38" s="114"/>
    </row>
    <row r="39" spans="1:49" ht="14.65" thickBot="1" x14ac:dyDescent="0.5">
      <c r="A39" s="452"/>
      <c r="B39" s="453"/>
      <c r="C39" s="461" t="s">
        <v>493</v>
      </c>
      <c r="D39" s="462"/>
      <c r="E39" s="462"/>
      <c r="F39" s="462"/>
      <c r="G39" s="462"/>
      <c r="H39" s="462"/>
      <c r="I39" s="462"/>
      <c r="J39" s="462"/>
      <c r="K39" s="462"/>
      <c r="L39" s="462"/>
      <c r="M39" s="463"/>
      <c r="N39" s="194">
        <v>103</v>
      </c>
      <c r="O39" s="471">
        <f>+O37-O38</f>
        <v>0</v>
      </c>
      <c r="P39" s="471"/>
      <c r="Q39" s="471"/>
      <c r="R39" s="471"/>
      <c r="S39" s="471"/>
      <c r="T39" s="471"/>
      <c r="U39" s="471"/>
      <c r="V39" s="471"/>
      <c r="W39" s="471"/>
      <c r="X39" s="471"/>
      <c r="Y39" s="471"/>
      <c r="Z39" s="471"/>
      <c r="AA39" s="472"/>
      <c r="AB39" s="482"/>
      <c r="AC39" s="485"/>
      <c r="AD39" s="195" t="s">
        <v>499</v>
      </c>
      <c r="AE39" s="196"/>
      <c r="AF39" s="196"/>
      <c r="AG39" s="196"/>
      <c r="AH39" s="196"/>
      <c r="AI39" s="196"/>
      <c r="AJ39" s="197"/>
      <c r="AK39" s="193">
        <v>120</v>
      </c>
      <c r="AL39" s="479"/>
      <c r="AM39" s="330"/>
      <c r="AN39" s="330"/>
      <c r="AO39" s="330"/>
      <c r="AP39" s="330"/>
      <c r="AQ39" s="330"/>
      <c r="AR39" s="330"/>
      <c r="AS39" s="480"/>
      <c r="AT39" s="114"/>
      <c r="AU39" s="114"/>
      <c r="AV39" s="114"/>
      <c r="AW39" s="114"/>
    </row>
    <row r="40" spans="1:49" ht="14.55" customHeight="1" x14ac:dyDescent="0.45">
      <c r="A40" s="528" t="s">
        <v>137</v>
      </c>
      <c r="B40" s="529"/>
      <c r="C40" s="533" t="s">
        <v>510</v>
      </c>
      <c r="D40" s="534"/>
      <c r="E40" s="534"/>
      <c r="F40" s="534"/>
      <c r="G40" s="534"/>
      <c r="H40" s="534"/>
      <c r="I40" s="534"/>
      <c r="J40" s="534"/>
      <c r="K40" s="534"/>
      <c r="L40" s="534"/>
      <c r="M40" s="535"/>
      <c r="N40" s="198">
        <v>104</v>
      </c>
      <c r="O40" s="541">
        <f>ROUND(+Motor!K27,-3)</f>
        <v>0</v>
      </c>
      <c r="P40" s="465"/>
      <c r="Q40" s="465"/>
      <c r="R40" s="465"/>
      <c r="S40" s="465"/>
      <c r="T40" s="465"/>
      <c r="U40" s="465"/>
      <c r="V40" s="465"/>
      <c r="W40" s="465"/>
      <c r="X40" s="465"/>
      <c r="Y40" s="465"/>
      <c r="Z40" s="465"/>
      <c r="AA40" s="466"/>
      <c r="AB40" s="482"/>
      <c r="AC40" s="485"/>
      <c r="AD40" s="195" t="s">
        <v>499</v>
      </c>
      <c r="AE40" s="196"/>
      <c r="AF40" s="196"/>
      <c r="AG40" s="196"/>
      <c r="AH40" s="196"/>
      <c r="AI40" s="196"/>
      <c r="AJ40" s="197"/>
      <c r="AK40" s="193">
        <v>121</v>
      </c>
      <c r="AL40" s="479">
        <v>0</v>
      </c>
      <c r="AM40" s="330"/>
      <c r="AN40" s="330"/>
      <c r="AO40" s="330"/>
      <c r="AP40" s="330"/>
      <c r="AQ40" s="330"/>
      <c r="AR40" s="330"/>
      <c r="AS40" s="480"/>
      <c r="AT40" s="114"/>
      <c r="AU40" s="114"/>
      <c r="AV40" s="114"/>
      <c r="AW40" s="114"/>
    </row>
    <row r="41" spans="1:49" ht="14.65" thickBot="1" x14ac:dyDescent="0.5">
      <c r="A41" s="530"/>
      <c r="B41" s="451"/>
      <c r="C41" s="490" t="s">
        <v>511</v>
      </c>
      <c r="D41" s="351"/>
      <c r="E41" s="351"/>
      <c r="F41" s="351"/>
      <c r="G41" s="351"/>
      <c r="H41" s="351"/>
      <c r="I41" s="351"/>
      <c r="J41" s="351"/>
      <c r="K41" s="351"/>
      <c r="L41" s="351"/>
      <c r="M41" s="491"/>
      <c r="N41" s="199">
        <v>105</v>
      </c>
      <c r="O41" s="542">
        <f>ROUND(+Motor!K30,-3)</f>
        <v>0</v>
      </c>
      <c r="P41" s="332"/>
      <c r="Q41" s="332"/>
      <c r="R41" s="332"/>
      <c r="S41" s="332"/>
      <c r="T41" s="332"/>
      <c r="U41" s="332"/>
      <c r="V41" s="332"/>
      <c r="W41" s="332"/>
      <c r="X41" s="332"/>
      <c r="Y41" s="332"/>
      <c r="Z41" s="332"/>
      <c r="AA41" s="468"/>
      <c r="AB41" s="482"/>
      <c r="AC41" s="486"/>
      <c r="AD41" s="495" t="s">
        <v>500</v>
      </c>
      <c r="AE41" s="496"/>
      <c r="AF41" s="496"/>
      <c r="AG41" s="496"/>
      <c r="AH41" s="496"/>
      <c r="AI41" s="496"/>
      <c r="AJ41" s="497"/>
      <c r="AK41" s="200">
        <v>122</v>
      </c>
      <c r="AL41" s="510">
        <f ca="1">SUM(AL36:AS40)</f>
        <v>0</v>
      </c>
      <c r="AM41" s="429"/>
      <c r="AN41" s="429"/>
      <c r="AO41" s="429"/>
      <c r="AP41" s="429"/>
      <c r="AQ41" s="429"/>
      <c r="AR41" s="429"/>
      <c r="AS41" s="511"/>
      <c r="AT41" s="114"/>
      <c r="AU41" s="114"/>
      <c r="AV41" s="114"/>
      <c r="AW41" s="114"/>
    </row>
    <row r="42" spans="1:49" ht="14.65" thickBot="1" x14ac:dyDescent="0.5">
      <c r="A42" s="530"/>
      <c r="B42" s="451"/>
      <c r="C42" s="501" t="s">
        <v>512</v>
      </c>
      <c r="D42" s="352"/>
      <c r="E42" s="352"/>
      <c r="F42" s="352"/>
      <c r="G42" s="352"/>
      <c r="H42" s="352"/>
      <c r="I42" s="352"/>
      <c r="J42" s="352"/>
      <c r="K42" s="352"/>
      <c r="L42" s="352"/>
      <c r="M42" s="502"/>
      <c r="N42" s="201">
        <v>106</v>
      </c>
      <c r="O42" s="543">
        <f>+O40-O41</f>
        <v>0</v>
      </c>
      <c r="P42" s="346"/>
      <c r="Q42" s="346"/>
      <c r="R42" s="346"/>
      <c r="S42" s="346"/>
      <c r="T42" s="346"/>
      <c r="U42" s="346"/>
      <c r="V42" s="346"/>
      <c r="W42" s="346"/>
      <c r="X42" s="346"/>
      <c r="Y42" s="346"/>
      <c r="Z42" s="346"/>
      <c r="AA42" s="470"/>
      <c r="AB42" s="482"/>
      <c r="AC42" s="484" t="s">
        <v>341</v>
      </c>
      <c r="AD42" s="512" t="s">
        <v>501</v>
      </c>
      <c r="AE42" s="513"/>
      <c r="AF42" s="513"/>
      <c r="AG42" s="513"/>
      <c r="AH42" s="514"/>
      <c r="AI42" s="202">
        <v>123</v>
      </c>
      <c r="AJ42" s="518">
        <v>0</v>
      </c>
      <c r="AK42" s="518"/>
      <c r="AL42" s="512" t="s">
        <v>344</v>
      </c>
      <c r="AM42" s="513"/>
      <c r="AN42" s="513"/>
      <c r="AO42" s="514"/>
      <c r="AP42" s="202">
        <v>124</v>
      </c>
      <c r="AQ42" s="522">
        <f>ROUND(+Motor!K61,-3)</f>
        <v>0</v>
      </c>
      <c r="AR42" s="523"/>
      <c r="AS42" s="524"/>
      <c r="AT42" s="114"/>
      <c r="AU42" s="114"/>
      <c r="AV42" s="114"/>
      <c r="AW42" s="114"/>
    </row>
    <row r="43" spans="1:49" ht="14.65" thickBot="1" x14ac:dyDescent="0.5">
      <c r="A43" s="530"/>
      <c r="B43" s="451"/>
      <c r="C43" s="536" t="s">
        <v>513</v>
      </c>
      <c r="D43" s="299"/>
      <c r="E43" s="299"/>
      <c r="F43" s="299"/>
      <c r="G43" s="299"/>
      <c r="H43" s="299"/>
      <c r="I43" s="299"/>
      <c r="J43" s="299"/>
      <c r="K43" s="299"/>
      <c r="L43" s="299"/>
      <c r="M43" s="537"/>
      <c r="N43" s="199">
        <v>107</v>
      </c>
      <c r="O43" s="542">
        <f>ROUND(+Motor!K29,-3)</f>
        <v>0</v>
      </c>
      <c r="P43" s="332"/>
      <c r="Q43" s="332"/>
      <c r="R43" s="332"/>
      <c r="S43" s="332"/>
      <c r="T43" s="332"/>
      <c r="U43" s="332"/>
      <c r="V43" s="332"/>
      <c r="W43" s="332"/>
      <c r="X43" s="332"/>
      <c r="Y43" s="332"/>
      <c r="Z43" s="332"/>
      <c r="AA43" s="468"/>
      <c r="AB43" s="482"/>
      <c r="AC43" s="486"/>
      <c r="AD43" s="515" t="s">
        <v>148</v>
      </c>
      <c r="AE43" s="516"/>
      <c r="AF43" s="516"/>
      <c r="AG43" s="516"/>
      <c r="AH43" s="517"/>
      <c r="AI43" s="202">
        <v>125</v>
      </c>
      <c r="AJ43" s="518">
        <v>0</v>
      </c>
      <c r="AK43" s="518"/>
      <c r="AL43" s="519" t="s">
        <v>502</v>
      </c>
      <c r="AM43" s="520"/>
      <c r="AN43" s="520"/>
      <c r="AO43" s="521"/>
      <c r="AP43" s="203">
        <v>126</v>
      </c>
      <c r="AQ43" s="525">
        <f>+AJ42+AQ42+AJ43</f>
        <v>0</v>
      </c>
      <c r="AR43" s="526"/>
      <c r="AS43" s="527"/>
      <c r="AT43" s="114"/>
      <c r="AU43" s="114"/>
      <c r="AV43" s="114"/>
      <c r="AW43" s="114"/>
    </row>
    <row r="44" spans="1:49" x14ac:dyDescent="0.45">
      <c r="A44" s="530"/>
      <c r="B44" s="451"/>
      <c r="C44" s="536" t="s">
        <v>514</v>
      </c>
      <c r="D44" s="299"/>
      <c r="E44" s="299"/>
      <c r="F44" s="299"/>
      <c r="G44" s="299"/>
      <c r="H44" s="299"/>
      <c r="I44" s="299"/>
      <c r="J44" s="299"/>
      <c r="K44" s="299"/>
      <c r="L44" s="299"/>
      <c r="M44" s="537"/>
      <c r="N44" s="199">
        <v>108</v>
      </c>
      <c r="O44" s="542">
        <f>ROUND(+Motor!K28,-3)</f>
        <v>0</v>
      </c>
      <c r="P44" s="332"/>
      <c r="Q44" s="332"/>
      <c r="R44" s="332"/>
      <c r="S44" s="332"/>
      <c r="T44" s="332"/>
      <c r="U44" s="332"/>
      <c r="V44" s="332"/>
      <c r="W44" s="332"/>
      <c r="X44" s="332"/>
      <c r="Y44" s="332"/>
      <c r="Z44" s="332"/>
      <c r="AA44" s="468"/>
      <c r="AB44" s="482"/>
      <c r="AC44" s="498" t="s">
        <v>503</v>
      </c>
      <c r="AD44" s="499"/>
      <c r="AE44" s="499"/>
      <c r="AF44" s="499"/>
      <c r="AG44" s="499"/>
      <c r="AH44" s="499"/>
      <c r="AI44" s="499"/>
      <c r="AJ44" s="500"/>
      <c r="AK44" s="204">
        <v>127</v>
      </c>
      <c r="AL44" s="479">
        <f ca="1">+AL41-AQ43</f>
        <v>0</v>
      </c>
      <c r="AM44" s="330"/>
      <c r="AN44" s="330"/>
      <c r="AO44" s="330"/>
      <c r="AP44" s="508"/>
      <c r="AQ44" s="508"/>
      <c r="AR44" s="508"/>
      <c r="AS44" s="509"/>
      <c r="AT44" s="114"/>
      <c r="AU44" s="114"/>
      <c r="AV44" s="114"/>
      <c r="AW44" s="114"/>
    </row>
    <row r="45" spans="1:49" x14ac:dyDescent="0.45">
      <c r="A45" s="530"/>
      <c r="B45" s="451"/>
      <c r="C45" s="536" t="s">
        <v>515</v>
      </c>
      <c r="D45" s="299"/>
      <c r="E45" s="299"/>
      <c r="F45" s="299"/>
      <c r="G45" s="299"/>
      <c r="H45" s="299"/>
      <c r="I45" s="299"/>
      <c r="J45" s="299"/>
      <c r="K45" s="299"/>
      <c r="L45" s="299"/>
      <c r="M45" s="537"/>
      <c r="N45" s="199">
        <v>109</v>
      </c>
      <c r="O45" s="542">
        <v>0</v>
      </c>
      <c r="P45" s="332"/>
      <c r="Q45" s="332"/>
      <c r="R45" s="332"/>
      <c r="S45" s="332"/>
      <c r="T45" s="332"/>
      <c r="U45" s="332"/>
      <c r="V45" s="332"/>
      <c r="W45" s="332"/>
      <c r="X45" s="332"/>
      <c r="Y45" s="332"/>
      <c r="Z45" s="332"/>
      <c r="AA45" s="468"/>
      <c r="AB45" s="482"/>
      <c r="AC45" s="490" t="s">
        <v>504</v>
      </c>
      <c r="AD45" s="351"/>
      <c r="AE45" s="351"/>
      <c r="AF45" s="351"/>
      <c r="AG45" s="351"/>
      <c r="AH45" s="351"/>
      <c r="AI45" s="351"/>
      <c r="AJ45" s="491"/>
      <c r="AK45" s="193">
        <v>128</v>
      </c>
      <c r="AL45" s="479">
        <f>ROUND(+Motor!K53+Motor!K54,-3)</f>
        <v>0</v>
      </c>
      <c r="AM45" s="330"/>
      <c r="AN45" s="330"/>
      <c r="AO45" s="330"/>
      <c r="AP45" s="330"/>
      <c r="AQ45" s="330"/>
      <c r="AR45" s="330"/>
      <c r="AS45" s="480"/>
      <c r="AT45" s="114"/>
      <c r="AU45" s="114"/>
      <c r="AV45" s="114"/>
      <c r="AW45" s="114"/>
    </row>
    <row r="46" spans="1:49" ht="14.65" thickBot="1" x14ac:dyDescent="0.5">
      <c r="A46" s="531"/>
      <c r="B46" s="532"/>
      <c r="C46" s="538" t="s">
        <v>516</v>
      </c>
      <c r="D46" s="539"/>
      <c r="E46" s="539"/>
      <c r="F46" s="539"/>
      <c r="G46" s="539"/>
      <c r="H46" s="539"/>
      <c r="I46" s="539"/>
      <c r="J46" s="539"/>
      <c r="K46" s="539"/>
      <c r="L46" s="539"/>
      <c r="M46" s="540"/>
      <c r="N46" s="205">
        <v>110</v>
      </c>
      <c r="O46" s="588">
        <v>0</v>
      </c>
      <c r="P46" s="589"/>
      <c r="Q46" s="589"/>
      <c r="R46" s="589"/>
      <c r="S46" s="589"/>
      <c r="T46" s="589"/>
      <c r="U46" s="589"/>
      <c r="V46" s="589"/>
      <c r="W46" s="589"/>
      <c r="X46" s="589"/>
      <c r="Y46" s="589"/>
      <c r="Z46" s="589"/>
      <c r="AA46" s="590"/>
      <c r="AB46" s="482"/>
      <c r="AC46" s="490" t="s">
        <v>505</v>
      </c>
      <c r="AD46" s="351"/>
      <c r="AE46" s="351"/>
      <c r="AF46" s="351"/>
      <c r="AG46" s="351"/>
      <c r="AH46" s="351"/>
      <c r="AI46" s="351"/>
      <c r="AJ46" s="491"/>
      <c r="AK46" s="193">
        <v>129</v>
      </c>
      <c r="AL46" s="479">
        <v>0</v>
      </c>
      <c r="AM46" s="330"/>
      <c r="AN46" s="330"/>
      <c r="AO46" s="330"/>
      <c r="AP46" s="330"/>
      <c r="AQ46" s="330"/>
      <c r="AR46" s="330"/>
      <c r="AS46" s="480"/>
      <c r="AT46" s="114"/>
      <c r="AU46" s="114"/>
      <c r="AV46" s="114"/>
      <c r="AW46" s="114"/>
    </row>
    <row r="47" spans="1:49" x14ac:dyDescent="0.45">
      <c r="A47" s="448" t="s">
        <v>154</v>
      </c>
      <c r="B47" s="591"/>
      <c r="C47" s="487" t="s">
        <v>517</v>
      </c>
      <c r="D47" s="488"/>
      <c r="E47" s="488"/>
      <c r="F47" s="488"/>
      <c r="G47" s="488"/>
      <c r="H47" s="488"/>
      <c r="I47" s="488"/>
      <c r="J47" s="488"/>
      <c r="K47" s="488"/>
      <c r="L47" s="488"/>
      <c r="M47" s="489"/>
      <c r="N47" s="198">
        <v>111</v>
      </c>
      <c r="O47" s="476">
        <f>ROUND(+Motor!K35,-3)</f>
        <v>0</v>
      </c>
      <c r="P47" s="477"/>
      <c r="Q47" s="477"/>
      <c r="R47" s="477"/>
      <c r="S47" s="477"/>
      <c r="T47" s="477"/>
      <c r="U47" s="477"/>
      <c r="V47" s="477"/>
      <c r="W47" s="477"/>
      <c r="X47" s="477"/>
      <c r="Y47" s="477"/>
      <c r="Z47" s="477"/>
      <c r="AA47" s="478"/>
      <c r="AB47" s="482"/>
      <c r="AC47" s="501" t="s">
        <v>506</v>
      </c>
      <c r="AD47" s="352"/>
      <c r="AE47" s="352"/>
      <c r="AF47" s="352"/>
      <c r="AG47" s="352"/>
      <c r="AH47" s="352"/>
      <c r="AI47" s="352"/>
      <c r="AJ47" s="502"/>
      <c r="AK47" s="206">
        <v>130</v>
      </c>
      <c r="AL47" s="479">
        <f ca="1">+AL44+AL45-AL46</f>
        <v>0</v>
      </c>
      <c r="AM47" s="330"/>
      <c r="AN47" s="330"/>
      <c r="AO47" s="330"/>
      <c r="AP47" s="330"/>
      <c r="AQ47" s="330"/>
      <c r="AR47" s="330"/>
      <c r="AS47" s="480"/>
      <c r="AT47" s="114"/>
      <c r="AU47" s="114"/>
      <c r="AV47" s="114"/>
      <c r="AW47" s="114"/>
    </row>
    <row r="48" spans="1:49" x14ac:dyDescent="0.45">
      <c r="A48" s="450"/>
      <c r="B48" s="592"/>
      <c r="C48" s="490" t="s">
        <v>518</v>
      </c>
      <c r="D48" s="351"/>
      <c r="E48" s="351"/>
      <c r="F48" s="351"/>
      <c r="G48" s="351"/>
      <c r="H48" s="351"/>
      <c r="I48" s="351"/>
      <c r="J48" s="351"/>
      <c r="K48" s="351"/>
      <c r="L48" s="351"/>
      <c r="M48" s="491"/>
      <c r="N48" s="199">
        <v>112</v>
      </c>
      <c r="O48" s="479">
        <v>0</v>
      </c>
      <c r="P48" s="330"/>
      <c r="Q48" s="330"/>
      <c r="R48" s="330"/>
      <c r="S48" s="330"/>
      <c r="T48" s="330"/>
      <c r="U48" s="330"/>
      <c r="V48" s="330"/>
      <c r="W48" s="330"/>
      <c r="X48" s="330"/>
      <c r="Y48" s="330"/>
      <c r="Z48" s="330"/>
      <c r="AA48" s="480"/>
      <c r="AB48" s="482"/>
      <c r="AC48" s="490" t="s">
        <v>507</v>
      </c>
      <c r="AD48" s="351"/>
      <c r="AE48" s="351"/>
      <c r="AF48" s="351"/>
      <c r="AG48" s="351"/>
      <c r="AH48" s="351"/>
      <c r="AI48" s="351"/>
      <c r="AJ48" s="491"/>
      <c r="AK48" s="193">
        <v>131</v>
      </c>
      <c r="AL48" s="479">
        <f>ROUND(+Motor!B12,-3)</f>
        <v>0</v>
      </c>
      <c r="AM48" s="330"/>
      <c r="AN48" s="330"/>
      <c r="AO48" s="330"/>
      <c r="AP48" s="330"/>
      <c r="AQ48" s="330"/>
      <c r="AR48" s="330"/>
      <c r="AS48" s="480"/>
      <c r="AT48" s="114"/>
      <c r="AU48" s="114"/>
      <c r="AV48" s="114"/>
      <c r="AW48" s="114"/>
    </row>
    <row r="49" spans="1:49" x14ac:dyDescent="0.45">
      <c r="A49" s="450"/>
      <c r="B49" s="592"/>
      <c r="C49" s="490" t="s">
        <v>519</v>
      </c>
      <c r="D49" s="351"/>
      <c r="E49" s="351"/>
      <c r="F49" s="351"/>
      <c r="G49" s="351"/>
      <c r="H49" s="351"/>
      <c r="I49" s="351"/>
      <c r="J49" s="351"/>
      <c r="K49" s="351"/>
      <c r="L49" s="351"/>
      <c r="M49" s="491"/>
      <c r="N49" s="199">
        <v>113</v>
      </c>
      <c r="O49" s="479">
        <v>0</v>
      </c>
      <c r="P49" s="330"/>
      <c r="Q49" s="330"/>
      <c r="R49" s="330"/>
      <c r="S49" s="330"/>
      <c r="T49" s="330"/>
      <c r="U49" s="330"/>
      <c r="V49" s="330"/>
      <c r="W49" s="330"/>
      <c r="X49" s="330"/>
      <c r="Y49" s="330"/>
      <c r="Z49" s="330"/>
      <c r="AA49" s="480"/>
      <c r="AB49" s="482"/>
      <c r="AC49" s="490" t="s">
        <v>508</v>
      </c>
      <c r="AD49" s="351"/>
      <c r="AE49" s="351"/>
      <c r="AF49" s="351"/>
      <c r="AG49" s="351"/>
      <c r="AH49" s="351"/>
      <c r="AI49" s="351"/>
      <c r="AJ49" s="491"/>
      <c r="AK49" s="193">
        <v>132</v>
      </c>
      <c r="AL49" s="479">
        <f>ROUND(+Motor!B11,-3)</f>
        <v>0</v>
      </c>
      <c r="AM49" s="330"/>
      <c r="AN49" s="330"/>
      <c r="AO49" s="330"/>
      <c r="AP49" s="330"/>
      <c r="AQ49" s="330"/>
      <c r="AR49" s="330"/>
      <c r="AS49" s="480"/>
      <c r="AT49" s="114"/>
      <c r="AU49" s="114"/>
      <c r="AV49" s="114"/>
      <c r="AW49" s="114"/>
    </row>
    <row r="50" spans="1:49" ht="25.05" customHeight="1" x14ac:dyDescent="0.45">
      <c r="A50" s="450"/>
      <c r="B50" s="592"/>
      <c r="C50" s="490" t="s">
        <v>323</v>
      </c>
      <c r="D50" s="351"/>
      <c r="E50" s="351"/>
      <c r="F50" s="351"/>
      <c r="G50" s="351"/>
      <c r="H50" s="351"/>
      <c r="I50" s="351"/>
      <c r="J50" s="351"/>
      <c r="K50" s="351"/>
      <c r="L50" s="351"/>
      <c r="M50" s="491"/>
      <c r="N50" s="199">
        <v>114</v>
      </c>
      <c r="O50" s="479">
        <f>ROUND(+Motor!K36,-3)</f>
        <v>0</v>
      </c>
      <c r="P50" s="330"/>
      <c r="Q50" s="330"/>
      <c r="R50" s="330"/>
      <c r="S50" s="330"/>
      <c r="T50" s="330"/>
      <c r="U50" s="330"/>
      <c r="V50" s="330"/>
      <c r="W50" s="330"/>
      <c r="X50" s="330"/>
      <c r="Y50" s="330"/>
      <c r="Z50" s="330"/>
      <c r="AA50" s="480"/>
      <c r="AB50" s="482"/>
      <c r="AC50" s="503" t="s">
        <v>509</v>
      </c>
      <c r="AD50" s="349"/>
      <c r="AE50" s="349"/>
      <c r="AF50" s="349"/>
      <c r="AG50" s="349"/>
      <c r="AH50" s="349"/>
      <c r="AI50" s="349"/>
      <c r="AJ50" s="504"/>
      <c r="AK50" s="193">
        <v>133</v>
      </c>
      <c r="AL50" s="479">
        <f>+ROUND(Motor!K56+Motor!K55,-3)</f>
        <v>0</v>
      </c>
      <c r="AM50" s="330"/>
      <c r="AN50" s="330"/>
      <c r="AO50" s="330"/>
      <c r="AP50" s="330"/>
      <c r="AQ50" s="330"/>
      <c r="AR50" s="330"/>
      <c r="AS50" s="480"/>
      <c r="AT50" s="114"/>
      <c r="AU50" s="114"/>
      <c r="AV50" s="114"/>
      <c r="AW50" s="114"/>
    </row>
    <row r="51" spans="1:49" x14ac:dyDescent="0.45">
      <c r="A51" s="593"/>
      <c r="B51" s="594"/>
      <c r="C51" s="505" t="s">
        <v>325</v>
      </c>
      <c r="D51" s="506"/>
      <c r="E51" s="506"/>
      <c r="F51" s="506"/>
      <c r="G51" s="506"/>
      <c r="H51" s="506"/>
      <c r="I51" s="506"/>
      <c r="J51" s="506"/>
      <c r="K51" s="506"/>
      <c r="L51" s="506"/>
      <c r="M51" s="507"/>
      <c r="N51" s="207">
        <v>115</v>
      </c>
      <c r="O51" s="544">
        <f>+ROUND(IFERROR(+Motor!K37+Motor!K38+Motor!K39+Motor!K40+Motor!K41,),-3)</f>
        <v>0</v>
      </c>
      <c r="P51" s="545"/>
      <c r="Q51" s="545"/>
      <c r="R51" s="545"/>
      <c r="S51" s="545"/>
      <c r="T51" s="545"/>
      <c r="U51" s="545"/>
      <c r="V51" s="545"/>
      <c r="W51" s="545"/>
      <c r="X51" s="545"/>
      <c r="Y51" s="545"/>
      <c r="Z51" s="545"/>
      <c r="AA51" s="546"/>
      <c r="AB51" s="483"/>
      <c r="AC51" s="505" t="s">
        <v>359</v>
      </c>
      <c r="AD51" s="506"/>
      <c r="AE51" s="506"/>
      <c r="AF51" s="506"/>
      <c r="AG51" s="506"/>
      <c r="AH51" s="506"/>
      <c r="AI51" s="506"/>
      <c r="AJ51" s="507"/>
      <c r="AK51" s="208">
        <v>134</v>
      </c>
      <c r="AL51" s="510">
        <f ca="1">ROUND(+Motor!F61,-3)</f>
        <v>0</v>
      </c>
      <c r="AM51" s="429"/>
      <c r="AN51" s="429"/>
      <c r="AO51" s="429"/>
      <c r="AP51" s="429"/>
      <c r="AQ51" s="429"/>
      <c r="AR51" s="429"/>
      <c r="AS51" s="511"/>
      <c r="AT51" s="114"/>
      <c r="AU51" s="114"/>
      <c r="AV51" s="114"/>
      <c r="AW51" s="114"/>
    </row>
    <row r="52" spans="1:49" ht="14.65" thickBot="1" x14ac:dyDescent="0.5">
      <c r="A52" s="587" t="s">
        <v>520</v>
      </c>
      <c r="B52" s="587"/>
      <c r="C52" s="587"/>
      <c r="D52" s="587"/>
      <c r="E52" s="209">
        <v>135</v>
      </c>
      <c r="F52" s="429">
        <f ca="1">+IF(AL47-AL48-AL49-AL50+AL51 &gt; 0,AL47-AL48-AL49-AL50+AL51,0)</f>
        <v>0</v>
      </c>
      <c r="G52" s="429"/>
      <c r="H52" s="429"/>
      <c r="I52" s="429"/>
      <c r="J52" s="429"/>
      <c r="K52" s="429"/>
      <c r="L52" s="429"/>
      <c r="M52" s="506" t="s">
        <v>362</v>
      </c>
      <c r="N52" s="506"/>
      <c r="O52" s="506"/>
      <c r="P52" s="506"/>
      <c r="Q52" s="210">
        <v>136</v>
      </c>
      <c r="R52" s="429">
        <f ca="1">ROUND(+Motor!B84,-3)</f>
        <v>0</v>
      </c>
      <c r="S52" s="429"/>
      <c r="T52" s="429"/>
      <c r="U52" s="429"/>
      <c r="V52" s="429"/>
      <c r="W52" s="429"/>
      <c r="X52" s="429"/>
      <c r="Y52" s="429"/>
      <c r="Z52" s="429"/>
      <c r="AA52" s="587" t="s">
        <v>521</v>
      </c>
      <c r="AB52" s="587"/>
      <c r="AC52" s="587"/>
      <c r="AD52" s="587"/>
      <c r="AE52" s="209">
        <v>137</v>
      </c>
      <c r="AF52" s="429">
        <f ca="1">+IF(F52&gt;0,F52+R52,0)</f>
        <v>0</v>
      </c>
      <c r="AG52" s="429"/>
      <c r="AH52" s="429"/>
      <c r="AI52" s="429"/>
      <c r="AJ52" s="429"/>
      <c r="AK52" s="585" t="s">
        <v>522</v>
      </c>
      <c r="AL52" s="585"/>
      <c r="AM52" s="585"/>
      <c r="AN52" s="585"/>
      <c r="AO52" s="209">
        <v>138</v>
      </c>
      <c r="AP52" s="419">
        <f ca="1">+IF(AF52&lt;=0,(AL47-AL48-AL49-AL50+AL51+R52)*-1,0)</f>
        <v>0</v>
      </c>
      <c r="AQ52" s="420"/>
      <c r="AR52" s="420"/>
      <c r="AS52" s="586"/>
      <c r="AT52" s="114"/>
      <c r="AU52" s="114"/>
      <c r="AV52" s="114"/>
      <c r="AW52" s="114"/>
    </row>
    <row r="53" spans="1:49" x14ac:dyDescent="0.45">
      <c r="A53" s="578"/>
      <c r="B53" s="579"/>
      <c r="C53" s="579"/>
      <c r="D53" s="579"/>
      <c r="E53" s="579"/>
      <c r="F53" s="579"/>
      <c r="G53" s="579"/>
      <c r="H53" s="579"/>
      <c r="I53" s="579"/>
      <c r="J53" s="579"/>
      <c r="K53" s="579"/>
      <c r="L53" s="579"/>
      <c r="M53" s="579"/>
      <c r="N53" s="579"/>
      <c r="O53" s="579"/>
      <c r="P53" s="579"/>
      <c r="Q53" s="579"/>
      <c r="R53" s="579"/>
      <c r="S53" s="579"/>
      <c r="T53" s="579"/>
      <c r="U53" s="579"/>
      <c r="V53" s="579"/>
      <c r="W53" s="579"/>
      <c r="X53" s="579"/>
      <c r="Y53" s="579"/>
      <c r="Z53" s="579"/>
      <c r="AA53" s="579"/>
      <c r="AB53" s="579"/>
      <c r="AC53" s="579"/>
      <c r="AD53" s="579"/>
      <c r="AE53" s="579"/>
      <c r="AF53" s="579"/>
      <c r="AG53" s="579"/>
      <c r="AH53" s="579"/>
      <c r="AI53" s="579"/>
      <c r="AJ53" s="579"/>
      <c r="AK53" s="579"/>
      <c r="AL53" s="579"/>
      <c r="AM53" s="579"/>
      <c r="AN53" s="579"/>
      <c r="AO53" s="579"/>
      <c r="AP53" s="579"/>
      <c r="AQ53" s="579"/>
      <c r="AR53" s="579"/>
      <c r="AS53" s="580"/>
      <c r="AT53" s="114"/>
      <c r="AU53" s="114"/>
      <c r="AV53" s="114"/>
      <c r="AW53" s="114"/>
    </row>
    <row r="54" spans="1:49" x14ac:dyDescent="0.45">
      <c r="A54" s="581"/>
      <c r="B54" s="564"/>
      <c r="C54" s="564"/>
      <c r="D54" s="564"/>
      <c r="E54" s="564"/>
      <c r="F54" s="564"/>
      <c r="G54" s="564"/>
      <c r="H54" s="564"/>
      <c r="I54" s="564"/>
      <c r="J54" s="564"/>
      <c r="K54" s="564"/>
      <c r="L54" s="564"/>
      <c r="M54" s="564"/>
      <c r="N54" s="564"/>
      <c r="O54" s="564"/>
      <c r="P54" s="564"/>
      <c r="Q54" s="564"/>
      <c r="R54" s="564"/>
      <c r="S54" s="564"/>
      <c r="T54" s="564"/>
      <c r="U54" s="564"/>
      <c r="V54" s="564"/>
      <c r="W54" s="564"/>
      <c r="X54" s="564"/>
      <c r="Y54" s="564"/>
      <c r="Z54" s="564"/>
      <c r="AA54" s="564"/>
      <c r="AB54" s="564"/>
      <c r="AC54" s="564"/>
      <c r="AD54" s="564"/>
      <c r="AE54" s="564"/>
      <c r="AF54" s="564"/>
      <c r="AG54" s="564"/>
      <c r="AH54" s="564"/>
      <c r="AI54" s="564"/>
      <c r="AJ54" s="564"/>
      <c r="AK54" s="564"/>
      <c r="AL54" s="564"/>
      <c r="AM54" s="564"/>
      <c r="AN54" s="564"/>
      <c r="AO54" s="564"/>
      <c r="AP54" s="564"/>
      <c r="AQ54" s="564"/>
      <c r="AR54" s="564"/>
      <c r="AS54" s="582"/>
      <c r="AT54" s="114"/>
      <c r="AU54" s="114"/>
      <c r="AV54" s="114"/>
      <c r="AW54" s="114"/>
    </row>
    <row r="55" spans="1:49" x14ac:dyDescent="0.45">
      <c r="A55" s="581"/>
      <c r="B55" s="564"/>
      <c r="C55" s="564"/>
      <c r="D55" s="564"/>
      <c r="E55" s="564"/>
      <c r="F55" s="564"/>
      <c r="G55" s="564"/>
      <c r="H55" s="564"/>
      <c r="I55" s="564"/>
      <c r="J55" s="564"/>
      <c r="K55" s="564"/>
      <c r="L55" s="564"/>
      <c r="M55" s="564"/>
      <c r="N55" s="564"/>
      <c r="O55" s="564"/>
      <c r="P55" s="564"/>
      <c r="Q55" s="564"/>
      <c r="R55" s="564"/>
      <c r="S55" s="564"/>
      <c r="T55" s="564"/>
      <c r="U55" s="564"/>
      <c r="V55" s="564"/>
      <c r="W55" s="564"/>
      <c r="X55" s="564"/>
      <c r="Y55" s="564"/>
      <c r="Z55" s="564"/>
      <c r="AA55" s="564"/>
      <c r="AB55" s="564"/>
      <c r="AC55" s="564"/>
      <c r="AD55" s="564"/>
      <c r="AE55" s="564"/>
      <c r="AF55" s="564"/>
      <c r="AG55" s="564"/>
      <c r="AH55" s="564"/>
      <c r="AI55" s="564"/>
      <c r="AJ55" s="564"/>
      <c r="AK55" s="564"/>
      <c r="AL55" s="564"/>
      <c r="AM55" s="564"/>
      <c r="AN55" s="564"/>
      <c r="AO55" s="564"/>
      <c r="AP55" s="564"/>
      <c r="AQ55" s="564"/>
      <c r="AR55" s="564"/>
      <c r="AS55" s="582"/>
      <c r="AT55" s="114"/>
      <c r="AU55" s="114"/>
      <c r="AV55" s="114"/>
      <c r="AW55" s="114"/>
    </row>
    <row r="56" spans="1:49" x14ac:dyDescent="0.45">
      <c r="A56" s="581"/>
      <c r="B56" s="564"/>
      <c r="C56" s="564"/>
      <c r="D56" s="564"/>
      <c r="E56" s="564"/>
      <c r="F56" s="564"/>
      <c r="G56" s="564"/>
      <c r="H56" s="564"/>
      <c r="I56" s="564"/>
      <c r="J56" s="564"/>
      <c r="K56" s="564"/>
      <c r="L56" s="564"/>
      <c r="M56" s="564"/>
      <c r="N56" s="564"/>
      <c r="O56" s="564"/>
      <c r="P56" s="564"/>
      <c r="Q56" s="564"/>
      <c r="R56" s="564"/>
      <c r="S56" s="564"/>
      <c r="T56" s="564"/>
      <c r="U56" s="564"/>
      <c r="V56" s="564"/>
      <c r="W56" s="564"/>
      <c r="X56" s="564"/>
      <c r="Y56" s="564"/>
      <c r="Z56" s="564"/>
      <c r="AA56" s="564"/>
      <c r="AB56" s="564"/>
      <c r="AC56" s="564"/>
      <c r="AD56" s="564"/>
      <c r="AE56" s="564"/>
      <c r="AF56" s="564"/>
      <c r="AG56" s="564"/>
      <c r="AH56" s="564"/>
      <c r="AI56" s="564"/>
      <c r="AJ56" s="564"/>
      <c r="AK56" s="564"/>
      <c r="AL56" s="564"/>
      <c r="AM56" s="564"/>
      <c r="AN56" s="564"/>
      <c r="AO56" s="564"/>
      <c r="AP56" s="564"/>
      <c r="AQ56" s="564"/>
      <c r="AR56" s="564"/>
      <c r="AS56" s="582"/>
      <c r="AT56" s="114"/>
      <c r="AU56" s="114"/>
      <c r="AV56" s="114"/>
      <c r="AW56" s="114"/>
    </row>
    <row r="57" spans="1:49" x14ac:dyDescent="0.45">
      <c r="A57" s="581"/>
      <c r="B57" s="564"/>
      <c r="C57" s="564"/>
      <c r="D57" s="564"/>
      <c r="E57" s="564"/>
      <c r="F57" s="564"/>
      <c r="G57" s="564"/>
      <c r="H57" s="564"/>
      <c r="I57" s="564"/>
      <c r="J57" s="564"/>
      <c r="K57" s="564"/>
      <c r="L57" s="564"/>
      <c r="M57" s="564"/>
      <c r="N57" s="564"/>
      <c r="O57" s="564"/>
      <c r="P57" s="564"/>
      <c r="Q57" s="564"/>
      <c r="R57" s="564"/>
      <c r="S57" s="564"/>
      <c r="T57" s="564"/>
      <c r="U57" s="564"/>
      <c r="V57" s="564"/>
      <c r="W57" s="564"/>
      <c r="X57" s="564"/>
      <c r="Y57" s="564"/>
      <c r="Z57" s="564"/>
      <c r="AA57" s="564"/>
      <c r="AB57" s="564"/>
      <c r="AC57" s="564"/>
      <c r="AD57" s="564"/>
      <c r="AE57" s="564"/>
      <c r="AF57" s="564"/>
      <c r="AG57" s="564"/>
      <c r="AH57" s="564"/>
      <c r="AI57" s="564"/>
      <c r="AJ57" s="564"/>
      <c r="AK57" s="564"/>
      <c r="AL57" s="564"/>
      <c r="AM57" s="564"/>
      <c r="AN57" s="564"/>
      <c r="AO57" s="564"/>
      <c r="AP57" s="564"/>
      <c r="AQ57" s="564"/>
      <c r="AR57" s="564"/>
      <c r="AS57" s="582"/>
      <c r="AT57" s="114"/>
      <c r="AU57" s="114"/>
      <c r="AV57" s="114"/>
      <c r="AW57" s="114"/>
    </row>
    <row r="58" spans="1:49" x14ac:dyDescent="0.45">
      <c r="A58" s="581"/>
      <c r="B58" s="564"/>
      <c r="C58" s="564"/>
      <c r="D58" s="564"/>
      <c r="E58" s="564"/>
      <c r="F58" s="564"/>
      <c r="G58" s="564"/>
      <c r="H58" s="564"/>
      <c r="I58" s="564"/>
      <c r="J58" s="564"/>
      <c r="K58" s="564"/>
      <c r="L58" s="564"/>
      <c r="M58" s="564"/>
      <c r="N58" s="564"/>
      <c r="O58" s="564"/>
      <c r="P58" s="564"/>
      <c r="Q58" s="564"/>
      <c r="R58" s="564"/>
      <c r="S58" s="564"/>
      <c r="T58" s="564"/>
      <c r="U58" s="564"/>
      <c r="V58" s="564"/>
      <c r="W58" s="564"/>
      <c r="X58" s="564"/>
      <c r="Y58" s="564"/>
      <c r="Z58" s="564"/>
      <c r="AA58" s="564"/>
      <c r="AB58" s="564"/>
      <c r="AC58" s="564"/>
      <c r="AD58" s="564"/>
      <c r="AE58" s="564"/>
      <c r="AF58" s="564"/>
      <c r="AG58" s="564"/>
      <c r="AH58" s="564"/>
      <c r="AI58" s="564"/>
      <c r="AJ58" s="564"/>
      <c r="AK58" s="564"/>
      <c r="AL58" s="564"/>
      <c r="AM58" s="564"/>
      <c r="AN58" s="564"/>
      <c r="AO58" s="564"/>
      <c r="AP58" s="564"/>
      <c r="AQ58" s="564"/>
      <c r="AR58" s="564"/>
      <c r="AS58" s="582"/>
      <c r="AT58" s="114"/>
      <c r="AU58" s="114"/>
      <c r="AV58" s="114"/>
      <c r="AW58" s="114"/>
    </row>
    <row r="59" spans="1:49" x14ac:dyDescent="0.45">
      <c r="A59" s="581"/>
      <c r="B59" s="564"/>
      <c r="C59" s="564"/>
      <c r="D59" s="564"/>
      <c r="E59" s="564"/>
      <c r="F59" s="564"/>
      <c r="G59" s="564"/>
      <c r="H59" s="564"/>
      <c r="I59" s="564"/>
      <c r="J59" s="564"/>
      <c r="K59" s="564"/>
      <c r="L59" s="564"/>
      <c r="M59" s="564"/>
      <c r="N59" s="564"/>
      <c r="O59" s="564"/>
      <c r="P59" s="564"/>
      <c r="Q59" s="564"/>
      <c r="R59" s="564"/>
      <c r="S59" s="564"/>
      <c r="T59" s="564"/>
      <c r="U59" s="564"/>
      <c r="V59" s="564"/>
      <c r="W59" s="564"/>
      <c r="X59" s="564"/>
      <c r="Y59" s="564"/>
      <c r="Z59" s="564"/>
      <c r="AA59" s="564"/>
      <c r="AB59" s="564"/>
      <c r="AC59" s="564"/>
      <c r="AD59" s="564"/>
      <c r="AE59" s="564"/>
      <c r="AF59" s="564"/>
      <c r="AG59" s="564"/>
      <c r="AH59" s="564"/>
      <c r="AI59" s="564"/>
      <c r="AJ59" s="564"/>
      <c r="AK59" s="564"/>
      <c r="AL59" s="564"/>
      <c r="AM59" s="564"/>
      <c r="AN59" s="564"/>
      <c r="AO59" s="564"/>
      <c r="AP59" s="564"/>
      <c r="AQ59" s="564"/>
      <c r="AR59" s="564"/>
      <c r="AS59" s="582"/>
      <c r="AT59" s="114"/>
      <c r="AU59" s="114"/>
      <c r="AV59" s="114"/>
      <c r="AW59" s="114"/>
    </row>
    <row r="60" spans="1:49" x14ac:dyDescent="0.45">
      <c r="A60" s="581"/>
      <c r="B60" s="564"/>
      <c r="C60" s="564"/>
      <c r="D60" s="564"/>
      <c r="E60" s="564"/>
      <c r="F60" s="564"/>
      <c r="G60" s="564"/>
      <c r="H60" s="564"/>
      <c r="I60" s="564"/>
      <c r="J60" s="564"/>
      <c r="K60" s="564"/>
      <c r="L60" s="564"/>
      <c r="M60" s="564"/>
      <c r="N60" s="564"/>
      <c r="O60" s="564"/>
      <c r="P60" s="564"/>
      <c r="Q60" s="564"/>
      <c r="R60" s="564"/>
      <c r="S60" s="564"/>
      <c r="T60" s="564"/>
      <c r="U60" s="564"/>
      <c r="V60" s="564"/>
      <c r="W60" s="564"/>
      <c r="X60" s="564"/>
      <c r="Y60" s="564"/>
      <c r="Z60" s="564"/>
      <c r="AA60" s="564"/>
      <c r="AB60" s="564"/>
      <c r="AC60" s="564"/>
      <c r="AD60" s="564"/>
      <c r="AE60" s="564"/>
      <c r="AF60" s="564"/>
      <c r="AG60" s="564"/>
      <c r="AH60" s="564"/>
      <c r="AI60" s="564"/>
      <c r="AJ60" s="564"/>
      <c r="AK60" s="564"/>
      <c r="AL60" s="564"/>
      <c r="AM60" s="564"/>
      <c r="AN60" s="564"/>
      <c r="AO60" s="564"/>
      <c r="AP60" s="564"/>
      <c r="AQ60" s="564"/>
      <c r="AR60" s="564"/>
      <c r="AS60" s="582"/>
      <c r="AT60" s="114"/>
      <c r="AU60" s="114"/>
      <c r="AV60" s="114"/>
      <c r="AW60" s="114"/>
    </row>
    <row r="61" spans="1:49" ht="14.65" thickBot="1" x14ac:dyDescent="0.5">
      <c r="A61" s="581"/>
      <c r="B61" s="564"/>
      <c r="C61" s="564"/>
      <c r="D61" s="564"/>
      <c r="E61" s="564"/>
      <c r="F61" s="564"/>
      <c r="G61" s="564"/>
      <c r="H61" s="564"/>
      <c r="I61" s="564"/>
      <c r="J61" s="564"/>
      <c r="K61" s="564"/>
      <c r="L61" s="565"/>
      <c r="M61" s="565"/>
      <c r="N61" s="565"/>
      <c r="O61" s="565"/>
      <c r="P61" s="565"/>
      <c r="Q61" s="565"/>
      <c r="R61" s="565"/>
      <c r="S61" s="565"/>
      <c r="T61" s="565"/>
      <c r="U61" s="565"/>
      <c r="V61" s="565"/>
      <c r="W61" s="565"/>
      <c r="X61" s="565"/>
      <c r="Y61" s="565"/>
      <c r="Z61" s="565"/>
      <c r="AA61" s="565"/>
      <c r="AB61" s="565"/>
      <c r="AC61" s="565"/>
      <c r="AD61" s="565"/>
      <c r="AE61" s="564"/>
      <c r="AF61" s="564"/>
      <c r="AG61" s="564"/>
      <c r="AH61" s="564"/>
      <c r="AI61" s="564"/>
      <c r="AJ61" s="564"/>
      <c r="AK61" s="564"/>
      <c r="AL61" s="564"/>
      <c r="AM61" s="564"/>
      <c r="AN61" s="564"/>
      <c r="AO61" s="564"/>
      <c r="AP61" s="564"/>
      <c r="AQ61" s="564"/>
      <c r="AR61" s="564"/>
      <c r="AS61" s="582"/>
      <c r="AT61" s="114"/>
      <c r="AU61" s="114"/>
      <c r="AV61" s="114"/>
      <c r="AW61" s="114"/>
    </row>
    <row r="62" spans="1:49" ht="14.65" thickBot="1" x14ac:dyDescent="0.5">
      <c r="A62" s="558" t="s">
        <v>524</v>
      </c>
      <c r="B62" s="559"/>
      <c r="C62" s="559"/>
      <c r="D62" s="559"/>
      <c r="E62" s="559"/>
      <c r="F62" s="211"/>
      <c r="G62" s="211"/>
      <c r="H62" s="566" t="s">
        <v>369</v>
      </c>
      <c r="I62" s="566"/>
      <c r="J62" s="566"/>
      <c r="K62" s="212"/>
      <c r="L62" s="578"/>
      <c r="M62" s="579"/>
      <c r="N62" s="579"/>
      <c r="O62" s="579"/>
      <c r="P62" s="579"/>
      <c r="Q62" s="579"/>
      <c r="R62" s="579"/>
      <c r="S62" s="579"/>
      <c r="T62" s="579"/>
      <c r="U62" s="579"/>
      <c r="V62" s="579"/>
      <c r="W62" s="579"/>
      <c r="X62" s="579"/>
      <c r="Y62" s="579"/>
      <c r="Z62" s="579"/>
      <c r="AA62" s="579"/>
      <c r="AB62" s="579"/>
      <c r="AC62" s="579"/>
      <c r="AD62" s="580"/>
      <c r="AE62" s="213"/>
      <c r="AF62" s="214"/>
      <c r="AG62" s="215"/>
      <c r="AH62" s="215"/>
      <c r="AI62" s="215"/>
      <c r="AJ62" s="215"/>
      <c r="AK62" s="214"/>
      <c r="AL62" s="214"/>
      <c r="AM62" s="214"/>
      <c r="AN62" s="214"/>
      <c r="AO62" s="214"/>
      <c r="AP62" s="214"/>
      <c r="AQ62" s="214"/>
      <c r="AR62" s="214"/>
      <c r="AS62" s="216"/>
      <c r="AT62" s="114"/>
      <c r="AU62" s="114"/>
      <c r="AV62" s="114"/>
      <c r="AW62" s="114"/>
    </row>
    <row r="63" spans="1:49" ht="14.65" thickBot="1" x14ac:dyDescent="0.5">
      <c r="A63" s="560"/>
      <c r="B63" s="561"/>
      <c r="C63" s="561"/>
      <c r="D63" s="561"/>
      <c r="E63" s="561"/>
      <c r="F63" s="564"/>
      <c r="G63" s="564"/>
      <c r="H63" s="567"/>
      <c r="I63" s="567"/>
      <c r="J63" s="567"/>
      <c r="K63" s="116"/>
      <c r="L63" s="581"/>
      <c r="M63" s="564"/>
      <c r="N63" s="564"/>
      <c r="O63" s="564"/>
      <c r="P63" s="564"/>
      <c r="Q63" s="564"/>
      <c r="R63" s="564"/>
      <c r="S63" s="564"/>
      <c r="T63" s="564"/>
      <c r="U63" s="564"/>
      <c r="V63" s="564"/>
      <c r="W63" s="564"/>
      <c r="X63" s="564"/>
      <c r="Y63" s="564"/>
      <c r="Z63" s="564"/>
      <c r="AA63" s="564"/>
      <c r="AB63" s="564"/>
      <c r="AC63" s="564"/>
      <c r="AD63" s="582"/>
      <c r="AE63" s="217" t="s">
        <v>523</v>
      </c>
      <c r="AF63" s="218"/>
      <c r="AG63" s="218"/>
      <c r="AH63" s="218"/>
      <c r="AI63" s="218"/>
      <c r="AJ63" s="218"/>
      <c r="AK63" s="547">
        <f ca="1">+IF(F52&lt;=0,0,AF52)</f>
        <v>0</v>
      </c>
      <c r="AL63" s="548"/>
      <c r="AM63" s="548"/>
      <c r="AN63" s="548"/>
      <c r="AO63" s="548"/>
      <c r="AP63" s="548"/>
      <c r="AQ63" s="549"/>
      <c r="AR63" s="218"/>
      <c r="AS63" s="219"/>
      <c r="AT63" s="114"/>
      <c r="AU63" s="114"/>
      <c r="AV63" s="114"/>
      <c r="AW63" s="114"/>
    </row>
    <row r="64" spans="1:49" ht="14.65" thickBot="1" x14ac:dyDescent="0.5">
      <c r="A64" s="560"/>
      <c r="B64" s="561"/>
      <c r="C64" s="561"/>
      <c r="D64" s="561"/>
      <c r="E64" s="561"/>
      <c r="F64" s="564"/>
      <c r="G64" s="564"/>
      <c r="H64" s="567"/>
      <c r="I64" s="567"/>
      <c r="J64" s="567"/>
      <c r="K64" s="116"/>
      <c r="L64" s="581"/>
      <c r="M64" s="564"/>
      <c r="N64" s="564"/>
      <c r="O64" s="564"/>
      <c r="P64" s="564"/>
      <c r="Q64" s="564"/>
      <c r="R64" s="564"/>
      <c r="S64" s="564"/>
      <c r="T64" s="564"/>
      <c r="U64" s="564"/>
      <c r="V64" s="564"/>
      <c r="W64" s="564"/>
      <c r="X64" s="564"/>
      <c r="Y64" s="564"/>
      <c r="Z64" s="564"/>
      <c r="AA64" s="564"/>
      <c r="AB64" s="564"/>
      <c r="AC64" s="564"/>
      <c r="AD64" s="582"/>
      <c r="AE64" s="220"/>
      <c r="AF64" s="221"/>
      <c r="AG64" s="221"/>
      <c r="AH64" s="221"/>
      <c r="AI64" s="221"/>
      <c r="AJ64" s="221"/>
      <c r="AK64" s="221"/>
      <c r="AL64" s="221"/>
      <c r="AM64" s="221"/>
      <c r="AN64" s="221"/>
      <c r="AO64" s="221"/>
      <c r="AP64" s="221"/>
      <c r="AQ64" s="221"/>
      <c r="AR64" s="221"/>
      <c r="AS64" s="222"/>
      <c r="AT64" s="114"/>
      <c r="AU64" s="114"/>
      <c r="AV64" s="114"/>
      <c r="AW64" s="114"/>
    </row>
    <row r="65" spans="1:49" ht="14.65" thickBot="1" x14ac:dyDescent="0.5">
      <c r="A65" s="562"/>
      <c r="B65" s="563"/>
      <c r="C65" s="563"/>
      <c r="D65" s="563"/>
      <c r="E65" s="563"/>
      <c r="F65" s="565"/>
      <c r="G65" s="565"/>
      <c r="H65" s="568"/>
      <c r="I65" s="568"/>
      <c r="J65" s="568"/>
      <c r="K65" s="122"/>
      <c r="L65" s="581"/>
      <c r="M65" s="564"/>
      <c r="N65" s="564"/>
      <c r="O65" s="564"/>
      <c r="P65" s="564"/>
      <c r="Q65" s="564"/>
      <c r="R65" s="564"/>
      <c r="S65" s="564"/>
      <c r="T65" s="564"/>
      <c r="U65" s="564"/>
      <c r="V65" s="564"/>
      <c r="W65" s="564"/>
      <c r="X65" s="564"/>
      <c r="Y65" s="564"/>
      <c r="Z65" s="564"/>
      <c r="AA65" s="564"/>
      <c r="AB65" s="564"/>
      <c r="AC65" s="564"/>
      <c r="AD65" s="582"/>
      <c r="AE65" s="215"/>
      <c r="AF65" s="215"/>
      <c r="AG65" s="215"/>
      <c r="AH65" s="215"/>
      <c r="AI65" s="215"/>
      <c r="AJ65" s="215"/>
      <c r="AK65" s="215"/>
      <c r="AL65" s="215"/>
      <c r="AM65" s="215"/>
      <c r="AN65" s="215"/>
      <c r="AO65" s="215"/>
      <c r="AP65" s="215"/>
      <c r="AQ65" s="215"/>
      <c r="AR65" s="215"/>
      <c r="AS65" s="212"/>
      <c r="AT65" s="114"/>
      <c r="AU65" s="114"/>
      <c r="AV65" s="114"/>
      <c r="AW65" s="114"/>
    </row>
    <row r="66" spans="1:49" x14ac:dyDescent="0.45">
      <c r="A66" s="569" t="s">
        <v>525</v>
      </c>
      <c r="B66" s="570"/>
      <c r="C66" s="570"/>
      <c r="D66" s="570"/>
      <c r="E66" s="570"/>
      <c r="F66" s="570"/>
      <c r="G66" s="570"/>
      <c r="H66" s="570"/>
      <c r="I66" s="570"/>
      <c r="J66" s="570"/>
      <c r="K66" s="571"/>
      <c r="L66" s="581"/>
      <c r="M66" s="564"/>
      <c r="N66" s="564"/>
      <c r="O66" s="564"/>
      <c r="P66" s="564"/>
      <c r="Q66" s="564"/>
      <c r="R66" s="564"/>
      <c r="S66" s="564"/>
      <c r="T66" s="564"/>
      <c r="U66" s="564"/>
      <c r="V66" s="564"/>
      <c r="W66" s="564"/>
      <c r="X66" s="564"/>
      <c r="Y66" s="564"/>
      <c r="Z66" s="564"/>
      <c r="AA66" s="564"/>
      <c r="AB66" s="564"/>
      <c r="AC66" s="564"/>
      <c r="AD66" s="582"/>
      <c r="AE66" s="114"/>
      <c r="AF66" s="114"/>
      <c r="AG66" s="114"/>
      <c r="AH66" s="114"/>
      <c r="AI66" s="114"/>
      <c r="AJ66" s="114"/>
      <c r="AK66" s="114"/>
      <c r="AL66" s="114"/>
      <c r="AM66" s="114"/>
      <c r="AN66" s="114"/>
      <c r="AO66" s="114"/>
      <c r="AP66" s="114"/>
      <c r="AQ66" s="114"/>
      <c r="AR66" s="114"/>
      <c r="AS66" s="116"/>
      <c r="AT66" s="114"/>
      <c r="AU66" s="114"/>
      <c r="AV66" s="114"/>
      <c r="AW66" s="114"/>
    </row>
    <row r="67" spans="1:49" x14ac:dyDescent="0.45">
      <c r="A67" s="572"/>
      <c r="B67" s="573"/>
      <c r="C67" s="573"/>
      <c r="D67" s="573"/>
      <c r="E67" s="573"/>
      <c r="F67" s="573"/>
      <c r="G67" s="573"/>
      <c r="H67" s="573"/>
      <c r="I67" s="573"/>
      <c r="J67" s="573"/>
      <c r="K67" s="574"/>
      <c r="L67" s="581"/>
      <c r="M67" s="564"/>
      <c r="N67" s="564"/>
      <c r="O67" s="564"/>
      <c r="P67" s="564"/>
      <c r="Q67" s="564"/>
      <c r="R67" s="564"/>
      <c r="S67" s="564"/>
      <c r="T67" s="564"/>
      <c r="U67" s="564"/>
      <c r="V67" s="564"/>
      <c r="W67" s="564"/>
      <c r="X67" s="564"/>
      <c r="Y67" s="564"/>
      <c r="Z67" s="564"/>
      <c r="AA67" s="564"/>
      <c r="AB67" s="564"/>
      <c r="AC67" s="564"/>
      <c r="AD67" s="582"/>
      <c r="AE67" s="114"/>
      <c r="AF67" s="114"/>
      <c r="AG67" s="114"/>
      <c r="AH67" s="114"/>
      <c r="AI67" s="114"/>
      <c r="AJ67" s="114"/>
      <c r="AK67" s="114"/>
      <c r="AL67" s="114"/>
      <c r="AM67" s="114"/>
      <c r="AN67" s="114"/>
      <c r="AO67" s="114"/>
      <c r="AP67" s="114"/>
      <c r="AQ67" s="114"/>
      <c r="AR67" s="114"/>
      <c r="AS67" s="116"/>
      <c r="AT67" s="114"/>
      <c r="AU67" s="114"/>
      <c r="AV67" s="114"/>
      <c r="AW67" s="114"/>
    </row>
    <row r="68" spans="1:49" x14ac:dyDescent="0.45">
      <c r="A68" s="572"/>
      <c r="B68" s="573"/>
      <c r="C68" s="573"/>
      <c r="D68" s="573"/>
      <c r="E68" s="573"/>
      <c r="F68" s="573"/>
      <c r="G68" s="573"/>
      <c r="H68" s="573"/>
      <c r="I68" s="573"/>
      <c r="J68" s="573"/>
      <c r="K68" s="574"/>
      <c r="L68" s="581"/>
      <c r="M68" s="564"/>
      <c r="N68" s="564"/>
      <c r="O68" s="564"/>
      <c r="P68" s="564"/>
      <c r="Q68" s="564"/>
      <c r="R68" s="564"/>
      <c r="S68" s="564"/>
      <c r="T68" s="564"/>
      <c r="U68" s="564"/>
      <c r="V68" s="564"/>
      <c r="W68" s="564"/>
      <c r="X68" s="564"/>
      <c r="Y68" s="564"/>
      <c r="Z68" s="564"/>
      <c r="AA68" s="564"/>
      <c r="AB68" s="564"/>
      <c r="AC68" s="564"/>
      <c r="AD68" s="582"/>
      <c r="AE68" s="114"/>
      <c r="AF68" s="114"/>
      <c r="AG68" s="114"/>
      <c r="AH68" s="114"/>
      <c r="AI68" s="114"/>
      <c r="AJ68" s="114"/>
      <c r="AK68" s="114"/>
      <c r="AL68" s="114"/>
      <c r="AM68" s="114"/>
      <c r="AN68" s="114"/>
      <c r="AO68" s="114"/>
      <c r="AP68" s="114"/>
      <c r="AQ68" s="114"/>
      <c r="AR68" s="114"/>
      <c r="AS68" s="116"/>
      <c r="AT68" s="114"/>
      <c r="AU68" s="114"/>
      <c r="AV68" s="114"/>
      <c r="AW68" s="114"/>
    </row>
    <row r="69" spans="1:49" ht="14.65" thickBot="1" x14ac:dyDescent="0.5">
      <c r="A69" s="575"/>
      <c r="B69" s="576"/>
      <c r="C69" s="576"/>
      <c r="D69" s="576"/>
      <c r="E69" s="576"/>
      <c r="F69" s="576"/>
      <c r="G69" s="576"/>
      <c r="H69" s="576"/>
      <c r="I69" s="576"/>
      <c r="J69" s="576"/>
      <c r="K69" s="577"/>
      <c r="L69" s="583"/>
      <c r="M69" s="565"/>
      <c r="N69" s="565"/>
      <c r="O69" s="565"/>
      <c r="P69" s="565"/>
      <c r="Q69" s="565"/>
      <c r="R69" s="565"/>
      <c r="S69" s="565"/>
      <c r="T69" s="565"/>
      <c r="U69" s="565"/>
      <c r="V69" s="565"/>
      <c r="W69" s="565"/>
      <c r="X69" s="565"/>
      <c r="Y69" s="565"/>
      <c r="Z69" s="565"/>
      <c r="AA69" s="565"/>
      <c r="AB69" s="565"/>
      <c r="AC69" s="565"/>
      <c r="AD69" s="584"/>
      <c r="AE69" s="121"/>
      <c r="AF69" s="121"/>
      <c r="AG69" s="121"/>
      <c r="AH69" s="121"/>
      <c r="AI69" s="121"/>
      <c r="AJ69" s="121"/>
      <c r="AK69" s="121"/>
      <c r="AL69" s="121"/>
      <c r="AM69" s="121"/>
      <c r="AN69" s="121"/>
      <c r="AO69" s="121"/>
      <c r="AP69" s="121"/>
      <c r="AQ69" s="121"/>
      <c r="AR69" s="121"/>
      <c r="AS69" s="122"/>
      <c r="AT69" s="114"/>
      <c r="AU69" s="114"/>
      <c r="AV69" s="114"/>
      <c r="AW69" s="114"/>
    </row>
    <row r="70" spans="1:49" x14ac:dyDescent="0.45">
      <c r="A70" s="114"/>
      <c r="B70" s="114"/>
      <c r="C70" s="114"/>
      <c r="D70" s="114"/>
      <c r="E70" s="114"/>
      <c r="F70" s="114"/>
      <c r="G70" s="114"/>
      <c r="H70" s="114"/>
      <c r="I70" s="114"/>
      <c r="J70" s="114"/>
      <c r="K70" s="114"/>
      <c r="L70" s="114"/>
      <c r="M70" s="114"/>
      <c r="N70" s="114"/>
      <c r="O70" s="114"/>
      <c r="P70" s="114"/>
      <c r="Q70" s="114"/>
      <c r="R70" s="114"/>
      <c r="S70" s="114"/>
      <c r="T70" s="114"/>
      <c r="U70" s="114"/>
      <c r="V70" s="114"/>
      <c r="W70" s="114"/>
      <c r="X70" s="114"/>
      <c r="Y70" s="114"/>
      <c r="Z70" s="114"/>
      <c r="AA70" s="114"/>
      <c r="AB70" s="114"/>
      <c r="AC70" s="114"/>
      <c r="AD70" s="114"/>
      <c r="AE70" s="114"/>
      <c r="AF70" s="114"/>
      <c r="AG70" s="114"/>
      <c r="AH70" s="114"/>
      <c r="AI70" s="114"/>
      <c r="AJ70" s="114"/>
      <c r="AK70" s="114"/>
      <c r="AL70" s="114"/>
      <c r="AM70" s="114"/>
      <c r="AN70" s="114"/>
      <c r="AO70" s="114"/>
      <c r="AP70" s="114"/>
      <c r="AQ70" s="114"/>
      <c r="AR70" s="114"/>
      <c r="AS70" s="114"/>
      <c r="AT70" s="114"/>
      <c r="AU70" s="114"/>
      <c r="AV70" s="114"/>
      <c r="AW70" s="114"/>
    </row>
  </sheetData>
  <mergeCells count="224">
    <mergeCell ref="AK63:AQ63"/>
    <mergeCell ref="AE8:AQ8"/>
    <mergeCell ref="AG7:AN7"/>
    <mergeCell ref="AT8:AU8"/>
    <mergeCell ref="A62:E65"/>
    <mergeCell ref="F63:G65"/>
    <mergeCell ref="H62:J65"/>
    <mergeCell ref="A66:K69"/>
    <mergeCell ref="L62:AD69"/>
    <mergeCell ref="AF52:AJ52"/>
    <mergeCell ref="AK52:AN52"/>
    <mergeCell ref="AP52:AS52"/>
    <mergeCell ref="A53:AS61"/>
    <mergeCell ref="A52:D52"/>
    <mergeCell ref="F52:L52"/>
    <mergeCell ref="M52:P52"/>
    <mergeCell ref="R52:Z52"/>
    <mergeCell ref="AA52:AD52"/>
    <mergeCell ref="O44:AA44"/>
    <mergeCell ref="O45:AA45"/>
    <mergeCell ref="O46:AA46"/>
    <mergeCell ref="A47:B51"/>
    <mergeCell ref="C47:M47"/>
    <mergeCell ref="O47:AA47"/>
    <mergeCell ref="C48:M48"/>
    <mergeCell ref="O48:AA48"/>
    <mergeCell ref="C49:M49"/>
    <mergeCell ref="O49:AA49"/>
    <mergeCell ref="C50:M50"/>
    <mergeCell ref="O50:AA50"/>
    <mergeCell ref="C51:M51"/>
    <mergeCell ref="O51:AA51"/>
    <mergeCell ref="AL49:AS49"/>
    <mergeCell ref="AL50:AS50"/>
    <mergeCell ref="AL51:AS51"/>
    <mergeCell ref="A40:B46"/>
    <mergeCell ref="C40:M40"/>
    <mergeCell ref="C41:M41"/>
    <mergeCell ref="C42:M42"/>
    <mergeCell ref="C43:M43"/>
    <mergeCell ref="C44:M44"/>
    <mergeCell ref="C45:M45"/>
    <mergeCell ref="C46:M46"/>
    <mergeCell ref="O40:AA40"/>
    <mergeCell ref="O41:AA41"/>
    <mergeCell ref="O42:AA42"/>
    <mergeCell ref="O43:AA43"/>
    <mergeCell ref="AL41:AS41"/>
    <mergeCell ref="AC42:AC43"/>
    <mergeCell ref="AD42:AH42"/>
    <mergeCell ref="AD43:AH43"/>
    <mergeCell ref="AJ42:AK42"/>
    <mergeCell ref="AJ43:AK43"/>
    <mergeCell ref="AL42:AO42"/>
    <mergeCell ref="AL43:AO43"/>
    <mergeCell ref="AQ42:AS42"/>
    <mergeCell ref="AQ43:AS43"/>
    <mergeCell ref="AL36:AS36"/>
    <mergeCell ref="AL37:AS37"/>
    <mergeCell ref="AL38:AS38"/>
    <mergeCell ref="AL39:AS39"/>
    <mergeCell ref="AL40:AS40"/>
    <mergeCell ref="AB36:AB51"/>
    <mergeCell ref="AC36:AC41"/>
    <mergeCell ref="AD36:AJ36"/>
    <mergeCell ref="AD37:AJ37"/>
    <mergeCell ref="AD38:AJ38"/>
    <mergeCell ref="AD41:AJ41"/>
    <mergeCell ref="AC44:AJ44"/>
    <mergeCell ref="AC45:AJ45"/>
    <mergeCell ref="AC46:AJ46"/>
    <mergeCell ref="AC47:AJ47"/>
    <mergeCell ref="AC48:AJ48"/>
    <mergeCell ref="AC49:AJ49"/>
    <mergeCell ref="AC50:AJ50"/>
    <mergeCell ref="AC51:AJ51"/>
    <mergeCell ref="AL44:AS44"/>
    <mergeCell ref="AL45:AS45"/>
    <mergeCell ref="AL46:AS46"/>
    <mergeCell ref="AL47:AS47"/>
    <mergeCell ref="AL48:AS48"/>
    <mergeCell ref="AB35:AJ35"/>
    <mergeCell ref="AL35:AS35"/>
    <mergeCell ref="B33:F33"/>
    <mergeCell ref="B34:F34"/>
    <mergeCell ref="H33:K33"/>
    <mergeCell ref="H34:K34"/>
    <mergeCell ref="L33:O33"/>
    <mergeCell ref="L34:O34"/>
    <mergeCell ref="Q33:X33"/>
    <mergeCell ref="Q34:X34"/>
    <mergeCell ref="A35:B39"/>
    <mergeCell ref="C35:M35"/>
    <mergeCell ref="C36:M36"/>
    <mergeCell ref="C37:M37"/>
    <mergeCell ref="C38:M38"/>
    <mergeCell ref="C39:M39"/>
    <mergeCell ref="O35:AA35"/>
    <mergeCell ref="O36:AA36"/>
    <mergeCell ref="O37:AA37"/>
    <mergeCell ref="O38:AA38"/>
    <mergeCell ref="O39:AA39"/>
    <mergeCell ref="Y33:AC33"/>
    <mergeCell ref="Y34:AC34"/>
    <mergeCell ref="AE33:AJ33"/>
    <mergeCell ref="AE34:AJ34"/>
    <mergeCell ref="AK33:AN33"/>
    <mergeCell ref="AG32:AK32"/>
    <mergeCell ref="AM28:AS28"/>
    <mergeCell ref="AM29:AS29"/>
    <mergeCell ref="AM30:AS30"/>
    <mergeCell ref="AM31:AS31"/>
    <mergeCell ref="AM32:AS32"/>
    <mergeCell ref="AK34:AN34"/>
    <mergeCell ref="AP33:AS33"/>
    <mergeCell ref="AP34:AS34"/>
    <mergeCell ref="B32:H32"/>
    <mergeCell ref="J28:Q28"/>
    <mergeCell ref="J32:Q32"/>
    <mergeCell ref="S28:AE28"/>
    <mergeCell ref="S29:AE29"/>
    <mergeCell ref="S30:AE30"/>
    <mergeCell ref="S31:AE31"/>
    <mergeCell ref="S32:AE32"/>
    <mergeCell ref="AM27:AS27"/>
    <mergeCell ref="B28:H28"/>
    <mergeCell ref="B29:H29"/>
    <mergeCell ref="B30:H30"/>
    <mergeCell ref="B31:H31"/>
    <mergeCell ref="AG28:AK28"/>
    <mergeCell ref="AG29:AK29"/>
    <mergeCell ref="AG30:AK30"/>
    <mergeCell ref="AG31:AK31"/>
    <mergeCell ref="AM26:AS26"/>
    <mergeCell ref="B25:B27"/>
    <mergeCell ref="C25:H25"/>
    <mergeCell ref="J25:Q25"/>
    <mergeCell ref="S25:AE25"/>
    <mergeCell ref="AG25:AK25"/>
    <mergeCell ref="C27:H27"/>
    <mergeCell ref="J27:Q27"/>
    <mergeCell ref="S27:AE27"/>
    <mergeCell ref="AG27:AK27"/>
    <mergeCell ref="AM24:AS24"/>
    <mergeCell ref="A10:B12"/>
    <mergeCell ref="R11:AR11"/>
    <mergeCell ref="C12:AN12"/>
    <mergeCell ref="AO12:AS12"/>
    <mergeCell ref="A15:A34"/>
    <mergeCell ref="B15:H15"/>
    <mergeCell ref="I15:Q15"/>
    <mergeCell ref="R15:AE15"/>
    <mergeCell ref="AF15:AK15"/>
    <mergeCell ref="AL15:AS15"/>
    <mergeCell ref="B16:H16"/>
    <mergeCell ref="B17:H17"/>
    <mergeCell ref="B18:H18"/>
    <mergeCell ref="J16:Q16"/>
    <mergeCell ref="J18:Q18"/>
    <mergeCell ref="S19:AE19"/>
    <mergeCell ref="S20:AE20"/>
    <mergeCell ref="B20:H20"/>
    <mergeCell ref="AM25:AS25"/>
    <mergeCell ref="C26:H26"/>
    <mergeCell ref="J26:Q26"/>
    <mergeCell ref="S26:AE26"/>
    <mergeCell ref="AG26:AK26"/>
    <mergeCell ref="A1:J4"/>
    <mergeCell ref="K1:AB4"/>
    <mergeCell ref="AC1:AJ4"/>
    <mergeCell ref="AK1:AR4"/>
    <mergeCell ref="AS1:AS4"/>
    <mergeCell ref="C5:D5"/>
    <mergeCell ref="AF5:AP5"/>
    <mergeCell ref="AG14:AJ14"/>
    <mergeCell ref="D6:U6"/>
    <mergeCell ref="C7:U7"/>
    <mergeCell ref="D9:Q9"/>
    <mergeCell ref="Y9:AS9"/>
    <mergeCell ref="AL14:AS14"/>
    <mergeCell ref="W13:X13"/>
    <mergeCell ref="AD13:AE13"/>
    <mergeCell ref="A13:H13"/>
    <mergeCell ref="P13:T13"/>
    <mergeCell ref="Y13:AC13"/>
    <mergeCell ref="AL13:AR13"/>
    <mergeCell ref="A14:D14"/>
    <mergeCell ref="E14:I14"/>
    <mergeCell ref="K14:T14"/>
    <mergeCell ref="U14:W14"/>
    <mergeCell ref="Y14:AF14"/>
    <mergeCell ref="B21:H21"/>
    <mergeCell ref="B19:H19"/>
    <mergeCell ref="B22:B24"/>
    <mergeCell ref="C22:H22"/>
    <mergeCell ref="C23:H23"/>
    <mergeCell ref="C24:H24"/>
    <mergeCell ref="J22:Q22"/>
    <mergeCell ref="J23:Q23"/>
    <mergeCell ref="J24:Q24"/>
    <mergeCell ref="S22:AE22"/>
    <mergeCell ref="S23:AE23"/>
    <mergeCell ref="S24:AE24"/>
    <mergeCell ref="AM21:AS21"/>
    <mergeCell ref="I17:AK17"/>
    <mergeCell ref="J21:AE21"/>
    <mergeCell ref="AG16:AK16"/>
    <mergeCell ref="AG18:AK18"/>
    <mergeCell ref="AG19:AK19"/>
    <mergeCell ref="AG20:AK20"/>
    <mergeCell ref="AG21:AK21"/>
    <mergeCell ref="AM16:AS16"/>
    <mergeCell ref="AM17:AS17"/>
    <mergeCell ref="AM18:AS18"/>
    <mergeCell ref="AM19:AS19"/>
    <mergeCell ref="AM20:AS20"/>
    <mergeCell ref="J20:Q20"/>
    <mergeCell ref="S16:AE16"/>
    <mergeCell ref="S18:AE18"/>
    <mergeCell ref="AG22:AK22"/>
    <mergeCell ref="AG23:AK23"/>
    <mergeCell ref="AG24:AK24"/>
    <mergeCell ref="AM22:AS22"/>
    <mergeCell ref="AM23:AS23"/>
  </mergeCells>
  <pageMargins left="0.25" right="0.25" top="0.75" bottom="0.75" header="0.3" footer="0.3"/>
  <pageSetup scale="5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CE67F-13BA-4B7E-8920-066D45B65AD0}">
  <sheetPr codeName="Hoja8"/>
  <dimension ref="A1:O89"/>
  <sheetViews>
    <sheetView showGridLines="0" zoomScale="90" zoomScaleNormal="90" workbookViewId="0">
      <selection activeCell="G15" sqref="G15"/>
    </sheetView>
  </sheetViews>
  <sheetFormatPr baseColWidth="10" defaultColWidth="11.06640625" defaultRowHeight="14.25" x14ac:dyDescent="0.45"/>
  <cols>
    <col min="1" max="1" width="49.265625" style="114" bestFit="1" customWidth="1"/>
    <col min="2" max="2" width="51.46484375" style="114" customWidth="1"/>
    <col min="3" max="3" width="11.06640625" style="114"/>
    <col min="4" max="4" width="12.46484375" style="114" bestFit="1" customWidth="1"/>
    <col min="5" max="5" width="46.46484375" style="114" bestFit="1" customWidth="1"/>
    <col min="6" max="6" width="18" style="241" customWidth="1"/>
    <col min="7" max="7" width="13.796875" style="241" bestFit="1" customWidth="1"/>
    <col min="8" max="8" width="17" style="114" customWidth="1"/>
    <col min="9" max="9" width="13.33203125" style="114" bestFit="1" customWidth="1"/>
    <col min="10" max="10" width="55" style="114" bestFit="1" customWidth="1"/>
    <col min="11" max="11" width="16.46484375" style="114" customWidth="1"/>
    <col min="12" max="12" width="13.796875" style="114" bestFit="1" customWidth="1"/>
    <col min="13" max="13" width="12.19921875" style="114" bestFit="1" customWidth="1"/>
    <col min="14" max="16384" width="11.06640625" style="114"/>
  </cols>
  <sheetData>
    <row r="1" spans="1:15" x14ac:dyDescent="0.45">
      <c r="A1" s="318" t="s">
        <v>205</v>
      </c>
      <c r="B1" s="318"/>
      <c r="E1" s="318" t="s">
        <v>206</v>
      </c>
      <c r="F1" s="318"/>
      <c r="G1" s="318"/>
      <c r="H1" s="318"/>
      <c r="J1" s="318" t="s">
        <v>236</v>
      </c>
      <c r="K1" s="318"/>
      <c r="L1" s="318"/>
      <c r="M1" s="318"/>
      <c r="N1" s="318"/>
      <c r="O1" s="318"/>
    </row>
    <row r="2" spans="1:15" x14ac:dyDescent="0.45">
      <c r="A2" s="8" t="s">
        <v>171</v>
      </c>
      <c r="B2" s="134">
        <f>IFERROR(+'Datos del Contribuyente'!C7," ")</f>
        <v>0</v>
      </c>
      <c r="E2" s="134" t="s">
        <v>207</v>
      </c>
      <c r="F2" s="246">
        <f>+SUMIFS('Cedula General'!K10:K45,'Cedula General'!E10:E45,"Renta de Trabajo",'Cedula General'!F10:F45,"Ingreso Gravado")-F65</f>
        <v>0</v>
      </c>
      <c r="G2" s="231" t="b">
        <v>0</v>
      </c>
      <c r="H2" s="134"/>
      <c r="J2" s="598" t="s">
        <v>237</v>
      </c>
      <c r="K2" s="598"/>
      <c r="L2" s="246">
        <f>+F2/12</f>
        <v>0</v>
      </c>
      <c r="M2" s="134" t="s">
        <v>239</v>
      </c>
      <c r="N2" s="134" t="s">
        <v>240</v>
      </c>
      <c r="O2" s="134" t="s">
        <v>241</v>
      </c>
    </row>
    <row r="3" spans="1:15" x14ac:dyDescent="0.45">
      <c r="A3" s="8" t="s">
        <v>173</v>
      </c>
      <c r="B3" s="134">
        <f>+DV!B2</f>
        <v>0</v>
      </c>
      <c r="E3" s="134" t="s">
        <v>166</v>
      </c>
      <c r="F3" s="246">
        <f>+SUMIFS('Cedula General'!K10:K45,'Cedula General'!E10:E45,"Renta de Trabajo",'Cedula General'!F10:F45,"INCR")</f>
        <v>0</v>
      </c>
      <c r="G3" s="231"/>
      <c r="H3" s="134"/>
      <c r="J3" s="598" t="s">
        <v>238</v>
      </c>
      <c r="K3" s="598"/>
      <c r="L3" s="246">
        <f>+L2/UVT!B11</f>
        <v>0</v>
      </c>
      <c r="M3" s="134"/>
      <c r="N3" s="134"/>
      <c r="O3" s="134"/>
    </row>
    <row r="4" spans="1:15" x14ac:dyDescent="0.45">
      <c r="A4" s="8" t="s">
        <v>172</v>
      </c>
      <c r="B4" s="134">
        <f>+'Datos del Contribuyente'!C9</f>
        <v>0</v>
      </c>
      <c r="E4" s="134" t="s">
        <v>445</v>
      </c>
      <c r="F4" s="246">
        <f>+SUMIFS('Cedula General'!K10:K45,'Cedula General'!E10:E45,"Renta de Trabajo",'Cedula General'!F10:F45,"Costo")</f>
        <v>0</v>
      </c>
      <c r="G4" s="231"/>
      <c r="H4" s="134"/>
      <c r="J4"/>
      <c r="K4"/>
      <c r="L4" s="246">
        <f>+IF(L3&lt;=N4,L3," ")</f>
        <v>0</v>
      </c>
      <c r="M4" s="134"/>
      <c r="N4" s="134">
        <v>349</v>
      </c>
      <c r="O4" s="260">
        <v>1</v>
      </c>
    </row>
    <row r="5" spans="1:15" x14ac:dyDescent="0.45">
      <c r="A5" s="8" t="s">
        <v>174</v>
      </c>
      <c r="B5" s="134">
        <f>+IFERROR(VLOOKUP('Datos del Contribuyente'!C11,Seccionales!B:C,2,0)," ")</f>
        <v>11</v>
      </c>
      <c r="E5" s="134" t="s">
        <v>208</v>
      </c>
      <c r="F5" s="246">
        <f>+F2-F3-F4</f>
        <v>0</v>
      </c>
      <c r="G5" s="231"/>
      <c r="H5" s="134"/>
      <c r="I5" s="288"/>
      <c r="J5"/>
      <c r="K5"/>
      <c r="L5" s="246" t="str">
        <f>+IF(AND(L3&gt;=M5,L3&lt;=N5),L3," ")</f>
        <v xml:space="preserve"> </v>
      </c>
      <c r="M5" s="134">
        <v>350</v>
      </c>
      <c r="N5" s="134">
        <v>410</v>
      </c>
      <c r="O5" s="260">
        <v>0.9</v>
      </c>
    </row>
    <row r="6" spans="1:15" x14ac:dyDescent="0.45">
      <c r="A6" s="8" t="s">
        <v>175</v>
      </c>
      <c r="B6" s="245" t="str">
        <f>+'Datos del Contribuyente'!C13</f>
        <v>010</v>
      </c>
      <c r="E6" s="134" t="s">
        <v>209</v>
      </c>
      <c r="F6" s="246">
        <f>+IF(Motor!G6=TRUE,('Cedula General'!O11*72)*UVT!B11,0)</f>
        <v>0</v>
      </c>
      <c r="G6" s="231" t="b">
        <v>0</v>
      </c>
      <c r="H6" s="134"/>
      <c r="J6"/>
      <c r="K6"/>
      <c r="L6" s="246" t="str">
        <f>+IF(AND(L3&gt;=M6,L3&lt;=N6),L3," ")</f>
        <v xml:space="preserve"> </v>
      </c>
      <c r="M6" s="134">
        <v>411</v>
      </c>
      <c r="N6" s="134">
        <v>470</v>
      </c>
      <c r="O6" s="260">
        <v>0.8</v>
      </c>
    </row>
    <row r="7" spans="1:15" x14ac:dyDescent="0.45">
      <c r="A7" s="8"/>
      <c r="B7" s="134"/>
      <c r="E7" s="134" t="s">
        <v>210</v>
      </c>
      <c r="F7" s="246">
        <f>+IF(G7=FALSE,0,IF(AND(G7=TRUE,'Cedula General'!O17&lt;=1200*UVT!B11),'Cedula General'!O17,1200*UVT!B11))-F70</f>
        <v>0</v>
      </c>
      <c r="G7" s="231" t="b">
        <v>0</v>
      </c>
      <c r="H7" s="134"/>
      <c r="J7"/>
      <c r="K7"/>
      <c r="L7" s="246" t="str">
        <f>+IF(AND(L3&gt;=M7,L3&lt;=N7),L3," ")</f>
        <v xml:space="preserve"> </v>
      </c>
      <c r="M7" s="134">
        <v>471</v>
      </c>
      <c r="N7" s="134">
        <v>530</v>
      </c>
      <c r="O7" s="260">
        <v>0.6</v>
      </c>
    </row>
    <row r="8" spans="1:15" x14ac:dyDescent="0.45">
      <c r="A8" s="8" t="s">
        <v>184</v>
      </c>
      <c r="B8" s="246">
        <f>+'Datos del Contribuyente'!C17</f>
        <v>0</v>
      </c>
      <c r="E8" s="134" t="s">
        <v>211</v>
      </c>
      <c r="F8" s="246">
        <f>+IF(G8=TRUE,'Cedula General'!O20,0)-F71</f>
        <v>0</v>
      </c>
      <c r="G8" s="231" t="b">
        <v>0</v>
      </c>
      <c r="H8" s="134"/>
      <c r="J8"/>
      <c r="K8"/>
      <c r="L8" s="246" t="str">
        <f>+IF(AND(L3&gt;=M8,L3&lt;=N8,L3),L3," ")</f>
        <v xml:space="preserve"> </v>
      </c>
      <c r="M8" s="134">
        <v>531</v>
      </c>
      <c r="N8" s="134">
        <v>590</v>
      </c>
      <c r="O8" s="260">
        <v>0.4</v>
      </c>
    </row>
    <row r="9" spans="1:15" x14ac:dyDescent="0.45">
      <c r="A9" s="8" t="s">
        <v>185</v>
      </c>
      <c r="B9" s="246">
        <f>+'Datos del Contribuyente'!C19</f>
        <v>0</v>
      </c>
      <c r="E9" s="134" t="s">
        <v>228</v>
      </c>
      <c r="F9" s="246">
        <f>+SUMIFS('Cedula General'!K10:K45,'Cedula General'!E10:E45,"Renta de Trabajo",'Cedula General'!F10:F45,"Renta Exenta")</f>
        <v>0</v>
      </c>
      <c r="G9" s="231"/>
      <c r="H9" s="134"/>
      <c r="I9" s="288"/>
      <c r="J9"/>
      <c r="K9"/>
      <c r="L9" s="246" t="str">
        <f>+IF(AND(L3&gt;=M9,L3&lt;=N9),L3," ")</f>
        <v xml:space="preserve"> </v>
      </c>
      <c r="M9" s="134">
        <v>591</v>
      </c>
      <c r="N9" s="134">
        <v>650</v>
      </c>
      <c r="O9" s="260">
        <v>0.2</v>
      </c>
    </row>
    <row r="10" spans="1:15" x14ac:dyDescent="0.45">
      <c r="A10" s="8" t="s">
        <v>198</v>
      </c>
      <c r="B10" s="246">
        <f>+'Datos del Contribuyente'!C21</f>
        <v>0</v>
      </c>
      <c r="E10" s="134" t="s">
        <v>235</v>
      </c>
      <c r="F10" s="246">
        <f>+IF(G10=TRUE,+'Cedula General'!O23,0)-F73</f>
        <v>0</v>
      </c>
      <c r="G10" s="231" t="b">
        <v>0</v>
      </c>
      <c r="H10" s="134"/>
      <c r="J10"/>
      <c r="K10"/>
      <c r="L10" s="246" t="str">
        <f>+IF(L3&gt;=M10,L3," ")</f>
        <v xml:space="preserve"> </v>
      </c>
      <c r="M10" s="134">
        <v>651</v>
      </c>
      <c r="N10" s="134"/>
      <c r="O10" s="260">
        <v>0</v>
      </c>
    </row>
    <row r="11" spans="1:15" x14ac:dyDescent="0.45">
      <c r="A11" s="8" t="s">
        <v>186</v>
      </c>
      <c r="B11" s="246">
        <f>+'Datos del Contribuyente'!C23</f>
        <v>0</v>
      </c>
      <c r="E11" s="134" t="s">
        <v>587</v>
      </c>
      <c r="F11" s="246">
        <f>+F82</f>
        <v>0</v>
      </c>
      <c r="G11" s="231"/>
      <c r="H11" s="134"/>
      <c r="J11" s="599" t="s">
        <v>213</v>
      </c>
      <c r="K11" s="600"/>
      <c r="L11" s="246">
        <f ca="1">+SUMIF('Cedula General'!C10:D25,"Cesantias e Intereses a las Cesantias",'Cedula General'!K10:K25)</f>
        <v>0</v>
      </c>
      <c r="M11" s="134"/>
      <c r="N11" s="134"/>
      <c r="O11" s="134"/>
    </row>
    <row r="12" spans="1:15" x14ac:dyDescent="0.45">
      <c r="A12" s="8" t="s">
        <v>187</v>
      </c>
      <c r="B12" s="246">
        <f>+'Datos del Contribuyente'!C25</f>
        <v>0</v>
      </c>
      <c r="E12" s="134" t="s">
        <v>212</v>
      </c>
      <c r="F12" s="246">
        <f>IF(+IF((F5-F7-F8-F9-F10)*25%&gt;(790*UVT!B11),(790*UVT!B11),(F5-F7-F8-F9-F10)*25%)&lt;0,0,+IF((F5-F7-F8-F9-F10)*25%&gt;(790*UVT!B11),(790*UVT!B11),(F5-F7-F8-F9-F10)*25%))</f>
        <v>0</v>
      </c>
      <c r="G12" s="246"/>
      <c r="H12" s="134"/>
      <c r="J12" s="598" t="s">
        <v>242</v>
      </c>
      <c r="K12" s="598"/>
      <c r="L12" s="249">
        <f>+VLOOKUP(L3,L4:O10,4,0)</f>
        <v>1</v>
      </c>
      <c r="M12"/>
      <c r="N12"/>
      <c r="O12"/>
    </row>
    <row r="13" spans="1:15" x14ac:dyDescent="0.45">
      <c r="B13" s="241"/>
      <c r="E13" s="134" t="s">
        <v>213</v>
      </c>
      <c r="F13" s="246">
        <f ca="1">+L13</f>
        <v>0</v>
      </c>
      <c r="G13" s="246"/>
      <c r="H13" s="134"/>
      <c r="J13" s="598" t="s">
        <v>243</v>
      </c>
      <c r="K13" s="598"/>
      <c r="L13" s="246">
        <f ca="1">+L11*L12</f>
        <v>0</v>
      </c>
      <c r="M13"/>
      <c r="N13"/>
      <c r="O13"/>
    </row>
    <row r="14" spans="1:15" x14ac:dyDescent="0.45">
      <c r="B14" s="241"/>
      <c r="E14" s="134" t="s">
        <v>214</v>
      </c>
      <c r="F14" s="246">
        <f ca="1">F6+F7+F8+F9+F10+F12+F13+F11</f>
        <v>0</v>
      </c>
      <c r="G14" s="246"/>
      <c r="H14" s="134"/>
    </row>
    <row r="15" spans="1:15" x14ac:dyDescent="0.45">
      <c r="A15" s="318" t="s">
        <v>188</v>
      </c>
      <c r="B15" s="318"/>
      <c r="E15" s="134" t="s">
        <v>215</v>
      </c>
      <c r="F15" s="246">
        <f ca="1">+IF((F7+F8+F9+F10+F12+F13)&gt;F5*40%,(F5*40%)+F6+F11,(F7+F8+F9+F10+F12+F13+F6+F11))</f>
        <v>0</v>
      </c>
      <c r="G15" s="246">
        <f>(1340*UVT!B11)+F6+F11</f>
        <v>50925360</v>
      </c>
      <c r="H15" s="246">
        <f ca="1">+IF(F15&lt;=G15,F15,G15)</f>
        <v>0</v>
      </c>
    </row>
    <row r="16" spans="1:15" x14ac:dyDescent="0.45">
      <c r="A16" s="134" t="s">
        <v>190</v>
      </c>
      <c r="B16" s="246">
        <f>IF(SUM(Patrimonio!H10:H27)+SUM(Patrimonio!I10:I27)-SUM(Patrimonio!O10:O27)&gt;0,SUM(Patrimonio!H10:H27)+SUM(Patrimonio!I10:I27)-SUM(Patrimonio!O10:O27),0)</f>
        <v>0</v>
      </c>
      <c r="E16" s="8" t="s">
        <v>216</v>
      </c>
      <c r="F16" s="247"/>
      <c r="G16" s="246"/>
      <c r="H16" s="248">
        <f ca="1">+F5-H15</f>
        <v>0</v>
      </c>
    </row>
    <row r="17" spans="1:13" x14ac:dyDescent="0.45">
      <c r="A17" s="134" t="s">
        <v>184</v>
      </c>
      <c r="B17" s="246">
        <f>+B8</f>
        <v>0</v>
      </c>
      <c r="K17" s="242"/>
      <c r="M17" s="242"/>
    </row>
    <row r="18" spans="1:13" x14ac:dyDescent="0.45">
      <c r="A18" s="134"/>
      <c r="B18" s="246"/>
      <c r="J18" s="318" t="s">
        <v>252</v>
      </c>
      <c r="K18" s="318"/>
      <c r="L18" s="318"/>
      <c r="M18" s="318"/>
    </row>
    <row r="19" spans="1:13" x14ac:dyDescent="0.45">
      <c r="A19" s="8" t="s">
        <v>191</v>
      </c>
      <c r="B19" s="247">
        <f>+B16-B17</f>
        <v>0</v>
      </c>
      <c r="C19"/>
      <c r="J19" s="134" t="s">
        <v>207</v>
      </c>
      <c r="K19" s="246">
        <f>+SUMIF('Cedula Pensiones'!B10:C20,"Ingresos por rentas de pensiones del país y del exterior",'Cedula Pensiones'!J10:K20)</f>
        <v>0</v>
      </c>
      <c r="L19" s="246"/>
      <c r="M19" s="134"/>
    </row>
    <row r="20" spans="1:13" x14ac:dyDescent="0.45">
      <c r="A20" s="134"/>
      <c r="B20" s="246"/>
      <c r="E20" s="318" t="s">
        <v>217</v>
      </c>
      <c r="F20" s="318"/>
      <c r="G20" s="318"/>
      <c r="H20" s="318"/>
      <c r="J20" s="134" t="s">
        <v>166</v>
      </c>
      <c r="K20" s="246">
        <f>+SUMIF('Cedula Pensiones'!B10:C20," Aportes obligatorios por salud",'Cedula Pensiones'!J10:K20)</f>
        <v>0</v>
      </c>
      <c r="L20" s="246"/>
      <c r="M20" s="134"/>
    </row>
    <row r="21" spans="1:13" x14ac:dyDescent="0.45">
      <c r="A21" s="134" t="s">
        <v>192</v>
      </c>
      <c r="B21" s="246">
        <f>+IFERROR(SUMIF('Cedula General'!F10:F25,"Ingreso Gravado",'Cedula General'!K10:K25)," ")-SUMIF('Cedula General'!F10:F25,"Costo",'Cedula General'!K10:K25)</f>
        <v>0</v>
      </c>
      <c r="E21" s="134" t="s">
        <v>207</v>
      </c>
      <c r="F21" s="246">
        <f>+SUMIFS('Cedula General'!K10:K45,'Cedula General'!E10:E45,"Renta de Capital",'Cedula General'!F10:F45,"Ingreso Gravado")</f>
        <v>0</v>
      </c>
      <c r="G21" s="246"/>
      <c r="H21" s="134"/>
      <c r="J21" s="134" t="s">
        <v>208</v>
      </c>
      <c r="K21" s="246">
        <f>+K19-K20</f>
        <v>0</v>
      </c>
      <c r="L21" s="246"/>
      <c r="M21" s="134"/>
    </row>
    <row r="22" spans="1:13" x14ac:dyDescent="0.45">
      <c r="A22" s="134" t="s">
        <v>193</v>
      </c>
      <c r="B22" s="246">
        <f>IFERROR(+SUMIF('Cedula General'!F10:F25,"Renta Exenta",'Cedula General'!K10:K25)," ")</f>
        <v>0</v>
      </c>
      <c r="E22" s="134" t="s">
        <v>166</v>
      </c>
      <c r="F22" s="246">
        <f>+SUMIFS('Cedula General'!K10:K45,'Cedula General'!E10:E45,"Renta de Capital",'Cedula General'!F10:F45,"INCR")</f>
        <v>0</v>
      </c>
      <c r="G22" s="246"/>
      <c r="H22" s="134"/>
      <c r="J22" s="134" t="s">
        <v>167</v>
      </c>
      <c r="K22" s="246">
        <f>+IF(K21&gt;12000*UVT!B11,12000*UVT!B11,Motor!K21)</f>
        <v>0</v>
      </c>
      <c r="L22" s="246"/>
      <c r="M22" s="134"/>
    </row>
    <row r="23" spans="1:13" x14ac:dyDescent="0.45">
      <c r="A23" s="134" t="s">
        <v>166</v>
      </c>
      <c r="B23" s="246">
        <f>IFERROR(+SUMIF('Cedula General'!F10:F25,"INCR",'Cedula General'!K10:K25)," ")</f>
        <v>0</v>
      </c>
      <c r="E23" s="134" t="s">
        <v>208</v>
      </c>
      <c r="F23" s="246">
        <f>+F21-F22</f>
        <v>0</v>
      </c>
      <c r="G23" s="246"/>
      <c r="H23" s="134"/>
      <c r="J23" s="8" t="s">
        <v>253</v>
      </c>
      <c r="K23" s="247">
        <f>+K21-K22</f>
        <v>0</v>
      </c>
      <c r="L23" s="246"/>
      <c r="M23" s="259"/>
    </row>
    <row r="24" spans="1:13" x14ac:dyDescent="0.45">
      <c r="A24" s="134" t="s">
        <v>194</v>
      </c>
      <c r="B24" s="246">
        <f>+SUMIF('Ganancia Ocasional'!D10:D20,"Ganancia Gravada",'Ganancia Ocasional'!K10:L20)-SUMIF('Ganancia Ocasional'!D10:D20,"Costo Ganancia Gravada",'Ganancia Ocasional'!K10:L20)</f>
        <v>0</v>
      </c>
      <c r="E24" s="134" t="s">
        <v>218</v>
      </c>
      <c r="F24" s="246">
        <f>+SUMIFS('Cedula General'!K10:K45,'Cedula General'!E10:E45,"Renta de Capital",'Cedula General'!F10:F45,"Costo")</f>
        <v>0</v>
      </c>
      <c r="G24" s="246"/>
      <c r="H24" s="134"/>
    </row>
    <row r="25" spans="1:13" x14ac:dyDescent="0.45">
      <c r="A25" s="134" t="s">
        <v>195</v>
      </c>
      <c r="B25" s="246">
        <f>+B10</f>
        <v>0</v>
      </c>
      <c r="E25" s="134" t="s">
        <v>244</v>
      </c>
      <c r="F25" s="246">
        <f>+SUMIFS('Cedula General'!K10:K45,'Cedula General'!E10:E45,"Renta de Capital",'Cedula General'!F10:F45,"Renta Exenta")</f>
        <v>0</v>
      </c>
      <c r="G25" s="246"/>
      <c r="H25" s="134"/>
      <c r="J25" s="127"/>
    </row>
    <row r="26" spans="1:13" x14ac:dyDescent="0.45">
      <c r="A26" s="134" t="s">
        <v>196</v>
      </c>
      <c r="B26" s="246">
        <f>SUM(Patrimonio!I10:I27)</f>
        <v>0</v>
      </c>
      <c r="E26" s="134" t="s">
        <v>245</v>
      </c>
      <c r="F26" s="246">
        <f>+IF(F25&gt;F23*10%,F23*10%,Motor!F25)</f>
        <v>0</v>
      </c>
      <c r="G26" s="246">
        <f>1000*UVT!B11</f>
        <v>38004000</v>
      </c>
      <c r="H26" s="246">
        <f>+IF(F26&lt;=G26,F26,G26)</f>
        <v>0</v>
      </c>
      <c r="J26" s="318" t="s">
        <v>258</v>
      </c>
      <c r="K26" s="318"/>
      <c r="L26" s="318"/>
      <c r="M26" s="318"/>
    </row>
    <row r="27" spans="1:13" x14ac:dyDescent="0.45">
      <c r="A27" s="8" t="s">
        <v>203</v>
      </c>
      <c r="B27" s="248">
        <f>SUM(B21:B26)</f>
        <v>0</v>
      </c>
      <c r="E27" s="8" t="s">
        <v>219</v>
      </c>
      <c r="F27" s="247"/>
      <c r="G27" s="246"/>
      <c r="H27" s="248">
        <f>+F23-F24-H26</f>
        <v>0</v>
      </c>
      <c r="J27" s="127" t="s">
        <v>576</v>
      </c>
      <c r="K27" s="246">
        <f>IFERROR(+SUMIF('Cedula Dividendos'!$B$10:$B$20,Motor!J27,'Cedula Dividendos'!$E$10:$E$20),0)</f>
        <v>0</v>
      </c>
      <c r="L27" s="134"/>
      <c r="M27" s="134"/>
    </row>
    <row r="28" spans="1:13" x14ac:dyDescent="0.45">
      <c r="A28" s="134"/>
      <c r="B28" s="134"/>
      <c r="J28" s="125" t="s">
        <v>575</v>
      </c>
      <c r="K28" s="246">
        <f>IFERROR(+SUMIF('Cedula Dividendos'!$B$10:$B$20,Motor!J28,'Cedula Dividendos'!$E$10:$E$20),0)</f>
        <v>0</v>
      </c>
      <c r="L28" s="134"/>
      <c r="M28" s="134"/>
    </row>
    <row r="29" spans="1:13" x14ac:dyDescent="0.45">
      <c r="A29" s="8" t="s">
        <v>204</v>
      </c>
      <c r="B29" s="248">
        <f>+IF(B19-B27&gt;0,B19-B27,0)</f>
        <v>0</v>
      </c>
      <c r="J29" s="134" t="s">
        <v>254</v>
      </c>
      <c r="K29" s="246">
        <f>IFERROR(+SUMIF('Cedula Dividendos'!$B$10:$B$20,Motor!J29,'Cedula Dividendos'!$E$10:$E$20),0)</f>
        <v>0</v>
      </c>
      <c r="L29" s="134"/>
      <c r="M29" s="134"/>
    </row>
    <row r="30" spans="1:13" x14ac:dyDescent="0.45">
      <c r="A30"/>
      <c r="B30"/>
      <c r="J30" s="134" t="s">
        <v>257</v>
      </c>
      <c r="K30" s="246">
        <f>IFERROR(+SUMIF('Cedula Dividendos'!$B$10:$B$20,Motor!J30,'Cedula Dividendos'!$E$10:$E$20),0)</f>
        <v>0</v>
      </c>
      <c r="L30" s="134"/>
      <c r="M30" s="134"/>
    </row>
    <row r="31" spans="1:13" x14ac:dyDescent="0.45">
      <c r="A31" s="134" t="s">
        <v>188</v>
      </c>
      <c r="B31" s="134">
        <f>+IF(Patrimonio!I26="NO",IF(B19-B27&gt;0,B19-B27,0),0)</f>
        <v>0</v>
      </c>
      <c r="E31" s="318" t="s">
        <v>220</v>
      </c>
      <c r="F31" s="318"/>
      <c r="G31" s="318"/>
      <c r="H31" s="318"/>
      <c r="J31" s="134" t="s">
        <v>259</v>
      </c>
      <c r="K31" s="259">
        <f>+K27+K28+K29-K30</f>
        <v>0</v>
      </c>
      <c r="L31" s="134"/>
      <c r="M31" s="134"/>
    </row>
    <row r="32" spans="1:13" x14ac:dyDescent="0.45">
      <c r="E32" s="134" t="s">
        <v>207</v>
      </c>
      <c r="F32" s="246">
        <f>+SUMIFS('Cedula General'!K10:K45,'Cedula General'!E10:E45,"Renta No Laboral",'Cedula General'!F10:F45,"Ingreso Gravado")</f>
        <v>0</v>
      </c>
      <c r="G32" s="246"/>
      <c r="H32" s="134"/>
    </row>
    <row r="33" spans="1:13" x14ac:dyDescent="0.45">
      <c r="E33" s="134" t="s">
        <v>166</v>
      </c>
      <c r="F33" s="246">
        <f>+SUMIFS('Cedula General'!K10:K45,'Cedula General'!E10:E45,"Renta No Laboral",'Cedula General'!F10:F45,"INCR")</f>
        <v>0</v>
      </c>
      <c r="G33" s="246"/>
      <c r="H33" s="134"/>
    </row>
    <row r="34" spans="1:13" x14ac:dyDescent="0.45">
      <c r="A34" s="318" t="s">
        <v>273</v>
      </c>
      <c r="B34" s="318"/>
      <c r="E34" s="134" t="s">
        <v>208</v>
      </c>
      <c r="F34" s="246">
        <f>+F32-F33</f>
        <v>0</v>
      </c>
      <c r="G34" s="246"/>
      <c r="H34" s="134"/>
      <c r="J34" s="318" t="s">
        <v>260</v>
      </c>
      <c r="K34" s="318"/>
      <c r="L34" s="318"/>
      <c r="M34" s="318"/>
    </row>
    <row r="35" spans="1:13" x14ac:dyDescent="0.45">
      <c r="A35" s="134" t="s">
        <v>274</v>
      </c>
      <c r="B35" s="249">
        <f>IFERROR(+B9/B8,0)</f>
        <v>0</v>
      </c>
      <c r="E35" s="134" t="s">
        <v>218</v>
      </c>
      <c r="F35" s="246">
        <f>+SUMIFS('Cedula General'!K10:K45,'Cedula General'!E10:E45,"Renta No Laboral",'Cedula General'!F10:F45,"Costo")</f>
        <v>0</v>
      </c>
      <c r="G35" s="246"/>
      <c r="H35" s="134"/>
      <c r="J35" s="134" t="s">
        <v>199</v>
      </c>
      <c r="K35" s="246">
        <f>+SUMIF('Ganancia Ocasional'!D10:D20,Motor!J35,'Ganancia Ocasional'!K10:L20)</f>
        <v>0</v>
      </c>
      <c r="L35" s="125"/>
      <c r="M35" s="125"/>
    </row>
    <row r="36" spans="1:13" x14ac:dyDescent="0.45">
      <c r="A36" s="134" t="s">
        <v>275</v>
      </c>
      <c r="B36" s="246"/>
      <c r="E36" s="134" t="s">
        <v>246</v>
      </c>
      <c r="F36" s="246">
        <f>+SUMIFS('Cedula General'!K10:K45,'Cedula General'!E10:E45,"Renta No Laboral",'Cedula General'!F10:F45,"Renta Exenta")</f>
        <v>0</v>
      </c>
      <c r="G36" s="246"/>
      <c r="H36" s="134"/>
      <c r="J36" s="134" t="s">
        <v>200</v>
      </c>
      <c r="K36" s="246">
        <f>+SUMIF('Ganancia Ocasional'!D11:D21,Motor!J36,'Ganancia Ocasional'!K11:L21)</f>
        <v>0</v>
      </c>
      <c r="L36" s="125"/>
      <c r="M36" s="125"/>
    </row>
    <row r="37" spans="1:13" x14ac:dyDescent="0.45">
      <c r="A37" s="134" t="s">
        <v>276</v>
      </c>
      <c r="B37" s="246">
        <f>+B36*B35</f>
        <v>0</v>
      </c>
      <c r="E37" s="134" t="s">
        <v>247</v>
      </c>
      <c r="F37" s="246">
        <f>+IF(F36&gt;F34*10%,F34*10%,F36)</f>
        <v>0</v>
      </c>
      <c r="G37" s="246">
        <f>1000*UVT!B11</f>
        <v>38004000</v>
      </c>
      <c r="H37" s="246">
        <f>+IF(F37&lt;=G37,F37,G37)</f>
        <v>0</v>
      </c>
      <c r="J37" s="134" t="s">
        <v>265</v>
      </c>
      <c r="K37" s="246">
        <f>IFERROR(+IF(AND(L37=TRUE,(K35-Motor!K36)&lt;13000*UVT!B11),Motor!K35-Motor!K36,IF(L37=TRUE,13000*UVT!B11,0)),0)</f>
        <v>0</v>
      </c>
      <c r="L37" s="125" t="b">
        <v>0</v>
      </c>
      <c r="M37" s="125"/>
    </row>
    <row r="38" spans="1:13" x14ac:dyDescent="0.45">
      <c r="A38" s="134" t="s">
        <v>277</v>
      </c>
      <c r="B38" s="246"/>
      <c r="E38" s="8" t="s">
        <v>129</v>
      </c>
      <c r="F38" s="247"/>
      <c r="G38" s="246"/>
      <c r="H38" s="259">
        <f>+F34-F35-H37</f>
        <v>0</v>
      </c>
      <c r="J38" s="134" t="s">
        <v>261</v>
      </c>
      <c r="K38" s="246">
        <f>+IF(AND(L38=TRUE,K35&lt;6500*UVT!B11),Motor!K35,IF(L38=TRUE,6500*UVT!B11,0))</f>
        <v>0</v>
      </c>
      <c r="L38" s="125" t="b">
        <v>0</v>
      </c>
      <c r="M38" s="125"/>
    </row>
    <row r="39" spans="1:13" x14ac:dyDescent="0.45">
      <c r="A39" s="134" t="s">
        <v>278</v>
      </c>
      <c r="B39" s="246"/>
      <c r="E39" s="134"/>
      <c r="F39" s="246"/>
      <c r="G39" s="246"/>
      <c r="H39" s="134"/>
      <c r="J39" s="134" t="s">
        <v>262</v>
      </c>
      <c r="K39" s="246">
        <f>+IF(AND(L39=TRUE,K35&lt;3490*UVT!B11),Motor!K35,IF(L39=TRUE,3490*UVT!B11,0))</f>
        <v>0</v>
      </c>
      <c r="L39" s="125" t="b">
        <v>0</v>
      </c>
      <c r="M39" s="125"/>
    </row>
    <row r="40" spans="1:13" x14ac:dyDescent="0.45">
      <c r="A40" s="134" t="s">
        <v>279</v>
      </c>
      <c r="B40" s="246">
        <f>+IF(AND(K37&lt;8000*UVT!B11,K37&gt;1),Motor!K37,IF(AND(K37&gt;0,K37&lt;8000*UVT!B11),K37,0))</f>
        <v>0</v>
      </c>
      <c r="E40" s="134" t="s">
        <v>224</v>
      </c>
      <c r="F40" s="246"/>
      <c r="G40" s="246"/>
      <c r="H40" s="134"/>
      <c r="J40" s="134" t="s">
        <v>263</v>
      </c>
      <c r="K40" s="259">
        <f>+IF(AND(L40=TRUE,K35&lt;3490*UVT!B11),Motor!K35,IF(L40=TRUE,3490*UVT!B11,0))</f>
        <v>0</v>
      </c>
      <c r="L40" s="125" t="b">
        <v>0</v>
      </c>
      <c r="M40" s="125"/>
    </row>
    <row r="41" spans="1:13" x14ac:dyDescent="0.45">
      <c r="A41" s="134" t="s">
        <v>280</v>
      </c>
      <c r="B41" s="246">
        <f>+F9</f>
        <v>0</v>
      </c>
      <c r="E41" s="134" t="s">
        <v>225</v>
      </c>
      <c r="F41" s="246"/>
      <c r="G41" s="246"/>
      <c r="H41" s="134"/>
      <c r="J41" s="134" t="s">
        <v>264</v>
      </c>
      <c r="K41" s="246">
        <f>+IF(AND(L41=TRUE,K35&lt;K35*20%),Motor!K35,IF(L41=TRUE,K35*20%,0))</f>
        <v>0</v>
      </c>
      <c r="L41" s="125" t="b">
        <v>0</v>
      </c>
      <c r="M41" s="125"/>
    </row>
    <row r="42" spans="1:13" ht="14.65" thickBot="1" x14ac:dyDescent="0.5">
      <c r="A42"/>
      <c r="B42"/>
      <c r="E42" s="134" t="s">
        <v>226</v>
      </c>
      <c r="F42" s="246"/>
      <c r="G42" s="246"/>
      <c r="H42" s="134"/>
      <c r="J42" s="8" t="s">
        <v>266</v>
      </c>
      <c r="K42" s="248">
        <f>IF(+(K35-K36)-SUM(K37:K41)&lt;0,0,+(K35-K36)-SUM(K37:K41))</f>
        <v>0</v>
      </c>
      <c r="L42" s="125"/>
      <c r="M42" s="125"/>
    </row>
    <row r="43" spans="1:13" ht="14.65" thickBot="1" x14ac:dyDescent="0.5">
      <c r="A43" s="250" t="s">
        <v>447</v>
      </c>
      <c r="B43" s="251">
        <f>+IF(B8-B37-B38-B39-B40-B41&lt;0,0,IF(B8&lt;0,B16-B37-B38-B39-B40-B41,B8-B37-B38-B39-B40-B41))</f>
        <v>0</v>
      </c>
      <c r="E43" s="134" t="s">
        <v>227</v>
      </c>
      <c r="F43" s="246">
        <f>+B31</f>
        <v>0</v>
      </c>
      <c r="G43" s="246"/>
      <c r="H43" s="134"/>
      <c r="M43" s="242"/>
    </row>
    <row r="44" spans="1:13" x14ac:dyDescent="0.45">
      <c r="A44" s="252" t="s">
        <v>448</v>
      </c>
      <c r="B44" s="253">
        <f>+B43*1.5%</f>
        <v>0</v>
      </c>
      <c r="E44" s="134"/>
      <c r="F44" s="246"/>
      <c r="G44" s="246"/>
      <c r="H44" s="134"/>
      <c r="J44" s="318" t="s">
        <v>269</v>
      </c>
      <c r="K44" s="318"/>
      <c r="L44" s="318"/>
      <c r="M44" s="318"/>
    </row>
    <row r="45" spans="1:13" x14ac:dyDescent="0.45">
      <c r="A45" s="134" t="s">
        <v>450</v>
      </c>
      <c r="B45" s="134">
        <f>+'Tabla Tarifas'!I24</f>
        <v>0</v>
      </c>
      <c r="E45" s="8" t="s">
        <v>222</v>
      </c>
      <c r="F45" s="246"/>
      <c r="G45" s="246"/>
      <c r="H45" s="247">
        <f>+H38-F40+F41+F42+F43</f>
        <v>0</v>
      </c>
      <c r="J45" s="261" t="s">
        <v>142</v>
      </c>
      <c r="K45" s="262">
        <f>+SUMIF('Ganancia Ocasional'!B10:C20,Motor!J45,'Ganancia Ocasional'!K10:L20)</f>
        <v>0</v>
      </c>
    </row>
    <row r="46" spans="1:13" x14ac:dyDescent="0.45">
      <c r="J46" s="134" t="s">
        <v>143</v>
      </c>
      <c r="K46" s="246">
        <f>+SUMIF('Ganancia Ocasional'!B10:C20,Motor!J46,'Ganancia Ocasional'!K10:L20)</f>
        <v>0</v>
      </c>
    </row>
    <row r="47" spans="1:13" x14ac:dyDescent="0.45">
      <c r="A47" s="318" t="s">
        <v>419</v>
      </c>
      <c r="B47" s="318"/>
    </row>
    <row r="48" spans="1:13" x14ac:dyDescent="0.45">
      <c r="A48" s="8" t="s">
        <v>420</v>
      </c>
      <c r="B48" s="254">
        <f>IF(IFERROR(VLOOKUP(_xlfn.NUMBERVALUE(RIGHT(Motor!B2,2)),Vencimientos!A:C,3,0),0)=0,VLOOKUP(_xlfn.NUMBERVALUE(RIGHT(Motor!B2,2)),Vencimientos!B:C,3,0),VLOOKUP(_xlfn.NUMBERVALUE(RIGHT(Motor!B2,2)),Vencimientos!A:C,3,0))</f>
        <v>45218</v>
      </c>
      <c r="C48" s="243"/>
    </row>
    <row r="49" spans="1:13" x14ac:dyDescent="0.45">
      <c r="A49" s="8" t="s">
        <v>421</v>
      </c>
      <c r="B49" s="255">
        <f ca="1">+TODAY()</f>
        <v>45090</v>
      </c>
      <c r="E49" s="318" t="s">
        <v>409</v>
      </c>
      <c r="F49" s="318"/>
      <c r="G49" s="114"/>
      <c r="J49" s="318" t="s">
        <v>270</v>
      </c>
      <c r="K49" s="318"/>
      <c r="L49" s="318"/>
      <c r="M49" s="318"/>
    </row>
    <row r="50" spans="1:13" x14ac:dyDescent="0.45">
      <c r="A50" s="8" t="s">
        <v>422</v>
      </c>
      <c r="B50" s="256" t="str">
        <f ca="1">+IF(B49&gt;B48,"DECLARACION VENCIDA","OK")</f>
        <v>OK</v>
      </c>
      <c r="E50" s="134" t="s">
        <v>410</v>
      </c>
      <c r="F50" s="258">
        <f>+IF('Datos del Contribuyente'!C15="1",25%,+IF('Datos del Contribuyente'!C15="2",50%,+IF('Datos del Contribuyente'!C15="3 o más",75%,0)))</f>
        <v>0.75</v>
      </c>
      <c r="G50" s="244"/>
      <c r="J50" s="134" t="s">
        <v>271</v>
      </c>
      <c r="K50" s="259">
        <f>IF(+K42-K45-K46&lt;0,0,+K42-K45-K46)</f>
        <v>0</v>
      </c>
    </row>
    <row r="51" spans="1:13" x14ac:dyDescent="0.45">
      <c r="A51" s="8" t="s">
        <v>423</v>
      </c>
      <c r="B51" s="8"/>
      <c r="E51" s="134" t="s">
        <v>411</v>
      </c>
      <c r="F51" s="246">
        <f ca="1">+Formulario!AM46</f>
        <v>0</v>
      </c>
      <c r="G51" s="244"/>
    </row>
    <row r="52" spans="1:13" x14ac:dyDescent="0.45">
      <c r="A52" s="8" t="s">
        <v>424</v>
      </c>
      <c r="B52" s="257">
        <f ca="1">+IF(B50="DECLARACION VENCIDA",Formulario!AM46,0)</f>
        <v>0</v>
      </c>
      <c r="E52" s="134" t="s">
        <v>412</v>
      </c>
      <c r="F52" s="246">
        <f>+Formulario!AM49</f>
        <v>0</v>
      </c>
      <c r="G52" s="244"/>
    </row>
    <row r="53" spans="1:13" x14ac:dyDescent="0.45">
      <c r="A53" s="8" t="s">
        <v>425</v>
      </c>
      <c r="B53" s="247">
        <f ca="1">+IF(AND(B50="DECLARACION VENCIDA",B52=0),F2+F21+F32+K19,0)</f>
        <v>0</v>
      </c>
      <c r="E53" s="134" t="s">
        <v>413</v>
      </c>
      <c r="F53" s="246">
        <f ca="1">+IF(F51-F52&gt;0,F51-F52,0)</f>
        <v>0</v>
      </c>
      <c r="G53" s="244"/>
      <c r="J53" s="134" t="s">
        <v>272</v>
      </c>
      <c r="K53" s="246">
        <f>+(K46+K45)*0.2</f>
        <v>0</v>
      </c>
    </row>
    <row r="54" spans="1:13" x14ac:dyDescent="0.45">
      <c r="A54" s="8" t="s">
        <v>426</v>
      </c>
      <c r="B54" s="247">
        <f ca="1">+IF(AND(B50="DECLARACION VENCIDA",B52=0,B53=0),B16,0)</f>
        <v>0</v>
      </c>
      <c r="E54" s="134" t="s">
        <v>414</v>
      </c>
      <c r="F54" s="246">
        <f ca="1">+F53*F50</f>
        <v>0</v>
      </c>
      <c r="G54" s="244"/>
      <c r="J54" s="134" t="s">
        <v>586</v>
      </c>
      <c r="K54" s="246">
        <f>+K50*0.15</f>
        <v>0</v>
      </c>
    </row>
    <row r="55" spans="1:13" x14ac:dyDescent="0.45">
      <c r="A55" s="134"/>
      <c r="B55" s="246"/>
      <c r="E55" s="134"/>
      <c r="F55" s="246"/>
      <c r="G55" s="244"/>
      <c r="J55" s="134" t="s">
        <v>268</v>
      </c>
      <c r="K55" s="246">
        <f>+SUMIF('Ganancia Ocasional'!D10:D20,Motor!J55,'Ganancia Ocasional'!K10:L20)</f>
        <v>0</v>
      </c>
    </row>
    <row r="56" spans="1:13" x14ac:dyDescent="0.45">
      <c r="A56" s="134" t="s">
        <v>428</v>
      </c>
      <c r="B56" s="137">
        <f ca="1">+B52</f>
        <v>0</v>
      </c>
      <c r="E56" s="134" t="s">
        <v>415</v>
      </c>
      <c r="F56" s="246">
        <f ca="1">+(Formulario!AM46+Motor!B10)/2</f>
        <v>0</v>
      </c>
      <c r="G56" s="244"/>
      <c r="J56" s="134" t="s">
        <v>401</v>
      </c>
      <c r="K56" s="246">
        <f>+SUMIF('Cedula General'!F9:F45,"Retencion",'Cedula General'!K9:K45)</f>
        <v>0</v>
      </c>
    </row>
    <row r="57" spans="1:13" x14ac:dyDescent="0.45">
      <c r="A57" s="134" t="s">
        <v>427</v>
      </c>
      <c r="B57" s="246">
        <f ca="1">IF(+B49-B48&gt;0,B49-B48,0)</f>
        <v>0</v>
      </c>
      <c r="E57" s="134" t="s">
        <v>416</v>
      </c>
      <c r="F57" s="246">
        <f>+Formulario!AM49</f>
        <v>0</v>
      </c>
      <c r="G57" s="244"/>
    </row>
    <row r="58" spans="1:13" x14ac:dyDescent="0.45">
      <c r="A58" s="134" t="s">
        <v>431</v>
      </c>
      <c r="B58" s="246">
        <f ca="1">+ROUNDUP(IF(B57/30&lt;1,1,B57/30),0)</f>
        <v>1</v>
      </c>
      <c r="E58" s="134" t="s">
        <v>413</v>
      </c>
      <c r="F58" s="246">
        <f ca="1">+IF(F56-F57&gt;0,F56-F57,0)</f>
        <v>0</v>
      </c>
      <c r="G58" s="244"/>
    </row>
    <row r="59" spans="1:13" x14ac:dyDescent="0.45">
      <c r="A59" s="134" t="s">
        <v>429</v>
      </c>
      <c r="B59" s="246">
        <f ca="1">+IF((B56*5%)*B58&gt;B56,B56,(B56*5%)*B58)</f>
        <v>0</v>
      </c>
      <c r="E59" s="134" t="s">
        <v>417</v>
      </c>
      <c r="F59" s="246">
        <f ca="1">+F58*F50</f>
        <v>0</v>
      </c>
      <c r="G59" s="244"/>
    </row>
    <row r="60" spans="1:13" x14ac:dyDescent="0.45">
      <c r="A60" s="134"/>
      <c r="B60" s="246"/>
      <c r="E60" s="134"/>
      <c r="F60" s="246"/>
      <c r="G60" s="244"/>
      <c r="J60" s="114" t="s">
        <v>442</v>
      </c>
      <c r="K60" s="114" cm="1">
        <f t="array" ref="K60:L60">+'Cedula General'!P34:Q34</f>
        <v>0</v>
      </c>
      <c r="L60" s="114">
        <v>0</v>
      </c>
    </row>
    <row r="61" spans="1:13" x14ac:dyDescent="0.45">
      <c r="A61" s="134" t="s">
        <v>430</v>
      </c>
      <c r="B61" s="246">
        <f ca="1">+B53</f>
        <v>0</v>
      </c>
      <c r="E61" s="134" t="s">
        <v>418</v>
      </c>
      <c r="F61" s="246">
        <f ca="1">+IF(F54&lt;F59,F54,F59)</f>
        <v>0</v>
      </c>
      <c r="G61" s="244"/>
      <c r="J61" s="114" t="s">
        <v>443</v>
      </c>
      <c r="K61" s="114">
        <f>+K60*25%</f>
        <v>0</v>
      </c>
    </row>
    <row r="62" spans="1:13" x14ac:dyDescent="0.45">
      <c r="A62" s="134" t="s">
        <v>427</v>
      </c>
      <c r="B62" s="246">
        <f ca="1">IF(+B49-B48&gt;0,B49-B48,0)</f>
        <v>0</v>
      </c>
      <c r="D62" s="242"/>
    </row>
    <row r="63" spans="1:13" x14ac:dyDescent="0.45">
      <c r="A63" s="134" t="s">
        <v>431</v>
      </c>
      <c r="B63" s="246">
        <f ca="1">+ROUNDUP(IF(B62/30&lt;1,1,B62/30),0)</f>
        <v>1</v>
      </c>
    </row>
    <row r="64" spans="1:13" x14ac:dyDescent="0.45">
      <c r="A64" s="134" t="s">
        <v>433</v>
      </c>
      <c r="B64" s="246">
        <f ca="1">+B61*5%</f>
        <v>0</v>
      </c>
      <c r="E64" s="318" t="s">
        <v>543</v>
      </c>
      <c r="F64" s="318"/>
      <c r="G64" s="318"/>
      <c r="H64" s="318"/>
    </row>
    <row r="65" spans="1:8" x14ac:dyDescent="0.45">
      <c r="A65" s="134" t="s">
        <v>434</v>
      </c>
      <c r="B65" s="246">
        <f ca="1">+Formulario!AM54*2</f>
        <v>0</v>
      </c>
      <c r="D65" s="241"/>
      <c r="E65" s="134" t="s">
        <v>207</v>
      </c>
      <c r="F65" s="246">
        <f>IF(G2=TRUE,+SUMIFS('Cedula General'!K10:K25,'Cedula General'!D10:D25,"Pagos por honorarios",'Cedula General'!E10:E25,"Renta de Trabajo",'Cedula General'!F10:F25,"Ingreso Gravado"),0) + IF(G2=TRUE,+SUMIFS('Cedula General'!K10:K25,'Cedula General'!D10:D25,"Pagos por servicios",'Cedula General'!E10:E25,"Renta de Trabajo",'Cedula General'!F10:F25,"Ingreso Gravado"),0)</f>
        <v>0</v>
      </c>
      <c r="G65" s="231"/>
      <c r="H65" s="134"/>
    </row>
    <row r="66" spans="1:8" x14ac:dyDescent="0.45">
      <c r="A66" s="134" t="s">
        <v>435</v>
      </c>
      <c r="B66" s="246">
        <f>+UVT!B4*2500</f>
        <v>85675000</v>
      </c>
      <c r="E66" s="134" t="s">
        <v>166</v>
      </c>
      <c r="F66" s="246">
        <f>+SUMIFS('Cedula General'!K10:K25,'Cedula General'!E10:E25,"Renta Honorarios",'Cedula General'!F10:F25,"INCR")</f>
        <v>0</v>
      </c>
      <c r="G66" s="231"/>
      <c r="H66" s="134"/>
    </row>
    <row r="67" spans="1:8" x14ac:dyDescent="0.45">
      <c r="A67" s="134" t="s">
        <v>436</v>
      </c>
      <c r="B67" s="246">
        <f ca="1">+MIN(B64:B66)</f>
        <v>0</v>
      </c>
      <c r="E67" s="134" t="s">
        <v>445</v>
      </c>
      <c r="F67" s="246">
        <f>+SUMIFS('Cedula General'!K10:K25,'Cedula General'!E10:E25,"Renta Honorarios",'Cedula General'!F10:F25,"Costo")</f>
        <v>0</v>
      </c>
      <c r="G67" s="231"/>
      <c r="H67" s="134"/>
    </row>
    <row r="68" spans="1:8" x14ac:dyDescent="0.45">
      <c r="A68" s="134" t="s">
        <v>432</v>
      </c>
      <c r="B68" s="246">
        <f ca="1">+IF((B61*0.5%)*B63&gt;B67,B67,(B61*0.5%)*B63)</f>
        <v>0</v>
      </c>
      <c r="E68" s="134" t="s">
        <v>208</v>
      </c>
      <c r="F68" s="246">
        <f>+F65-F66-F67</f>
        <v>0</v>
      </c>
      <c r="G68" s="231"/>
      <c r="H68" s="134"/>
    </row>
    <row r="69" spans="1:8" x14ac:dyDescent="0.45">
      <c r="A69" s="134"/>
      <c r="B69" s="246"/>
      <c r="E69" s="134" t="s">
        <v>209</v>
      </c>
      <c r="F69" s="246">
        <f>+IF(G69=G2,+IF(AND(Motor!G6=TRUE,F2*10%&gt;(384*UVT!B11)),(384*UVT!B11),IF(G6=TRUE,F2*10%,0)),0)</f>
        <v>0</v>
      </c>
      <c r="G69" s="231" t="b">
        <v>1</v>
      </c>
      <c r="H69" s="134"/>
    </row>
    <row r="70" spans="1:8" x14ac:dyDescent="0.45">
      <c r="A70" s="134"/>
      <c r="B70" s="246"/>
      <c r="E70" s="134" t="s">
        <v>210</v>
      </c>
      <c r="F70" s="246">
        <f>IF(AND(G70=G2,G7=TRUE),IF(AND(G7=TRUE,'Cedula General'!O17&lt;=1200*UVT!B11),'Cedula General'!O17,1200*UVT!B11),0)</f>
        <v>0</v>
      </c>
      <c r="G70" s="231" t="b">
        <v>1</v>
      </c>
      <c r="H70" s="134"/>
    </row>
    <row r="71" spans="1:8" x14ac:dyDescent="0.45">
      <c r="A71" s="134"/>
      <c r="B71" s="246"/>
      <c r="E71" s="134" t="s">
        <v>211</v>
      </c>
      <c r="F71" s="246">
        <f>+IF(G71=G2,+IF(G8=TRUE,'Cedula General'!O20,0),0)</f>
        <v>0</v>
      </c>
      <c r="G71" s="231" t="b">
        <v>1</v>
      </c>
      <c r="H71" s="134"/>
    </row>
    <row r="72" spans="1:8" x14ac:dyDescent="0.45">
      <c r="A72" s="134" t="s">
        <v>430</v>
      </c>
      <c r="B72" s="246">
        <f ca="1">+B54</f>
        <v>0</v>
      </c>
      <c r="E72" s="134" t="s">
        <v>228</v>
      </c>
      <c r="F72" s="246">
        <f>+SUMIFS('Cedula General'!K10:K25,'Cedula General'!E10:E25,"Renta Honorarios",'Cedula General'!F10:F25,"Renta Exenta")</f>
        <v>0</v>
      </c>
      <c r="G72" s="231"/>
      <c r="H72" s="134"/>
    </row>
    <row r="73" spans="1:8" x14ac:dyDescent="0.45">
      <c r="A73" s="134" t="s">
        <v>427</v>
      </c>
      <c r="B73" s="246">
        <f ca="1">IF(+B49-B48&gt;0,B49-B48,0)</f>
        <v>0</v>
      </c>
      <c r="E73" s="134" t="s">
        <v>235</v>
      </c>
      <c r="F73" s="246">
        <f>IF(G73=G2,+IF(G10=TRUE,+'Cedula General'!O23,0),0)</f>
        <v>0</v>
      </c>
      <c r="G73" s="231" t="b">
        <v>1</v>
      </c>
      <c r="H73" s="134"/>
    </row>
    <row r="74" spans="1:8" x14ac:dyDescent="0.45">
      <c r="A74" s="134" t="s">
        <v>431</v>
      </c>
      <c r="B74" s="246">
        <f ca="1">+ROUNDUP(IF(B73/30&lt;1,1,B73/30),0)</f>
        <v>1</v>
      </c>
      <c r="E74" s="134" t="s">
        <v>213</v>
      </c>
      <c r="F74" s="246">
        <f>+L75</f>
        <v>0</v>
      </c>
      <c r="G74" s="231"/>
      <c r="H74" s="134"/>
    </row>
    <row r="75" spans="1:8" x14ac:dyDescent="0.45">
      <c r="A75" s="134" t="s">
        <v>437</v>
      </c>
      <c r="B75" s="246">
        <f ca="1">+B72*10%</f>
        <v>0</v>
      </c>
      <c r="E75" s="134" t="s">
        <v>214</v>
      </c>
      <c r="F75" s="246">
        <f>+F69+F70+F71+F72+F73+F74</f>
        <v>0</v>
      </c>
      <c r="G75" s="231"/>
      <c r="H75" s="134"/>
    </row>
    <row r="76" spans="1:8" x14ac:dyDescent="0.45">
      <c r="A76" s="134" t="s">
        <v>434</v>
      </c>
      <c r="B76" s="246">
        <f ca="1">+Formulario!AM54*2</f>
        <v>0</v>
      </c>
      <c r="E76" s="134" t="s">
        <v>215</v>
      </c>
      <c r="F76" s="246">
        <f>+IF(F75&gt;F68*40%,F68*40%,F75)</f>
        <v>0</v>
      </c>
      <c r="G76" s="231">
        <f>5040*UVT!B73</f>
        <v>0</v>
      </c>
      <c r="H76" s="246">
        <f>+IF(F76&lt;=G76,F76,G76)</f>
        <v>0</v>
      </c>
    </row>
    <row r="77" spans="1:8" x14ac:dyDescent="0.45">
      <c r="A77" s="134" t="s">
        <v>435</v>
      </c>
      <c r="B77" s="246">
        <f>+UVT!B4*2500</f>
        <v>85675000</v>
      </c>
      <c r="E77" s="8" t="s">
        <v>216</v>
      </c>
      <c r="F77" s="247"/>
      <c r="G77" s="231"/>
      <c r="H77" s="248">
        <f>+F68-H76</f>
        <v>0</v>
      </c>
    </row>
    <row r="78" spans="1:8" x14ac:dyDescent="0.45">
      <c r="A78" s="134" t="s">
        <v>436</v>
      </c>
      <c r="B78" s="246">
        <f ca="1">+MIN(B75:B77)</f>
        <v>0</v>
      </c>
    </row>
    <row r="79" spans="1:8" x14ac:dyDescent="0.45">
      <c r="A79" s="134" t="s">
        <v>432</v>
      </c>
      <c r="B79" s="246">
        <f ca="1">+IF((B72*1%)*B74&gt;B78,B78,(B72*1%)*B74)</f>
        <v>0</v>
      </c>
    </row>
    <row r="80" spans="1:8" ht="14.65" thickBot="1" x14ac:dyDescent="0.5">
      <c r="A80" s="134"/>
      <c r="B80" s="246"/>
    </row>
    <row r="81" spans="1:8" x14ac:dyDescent="0.45">
      <c r="A81" s="134"/>
      <c r="B81" s="246"/>
      <c r="E81" s="595" t="s">
        <v>582</v>
      </c>
      <c r="F81" s="596"/>
      <c r="G81" s="596"/>
      <c r="H81" s="597"/>
    </row>
    <row r="82" spans="1:8" x14ac:dyDescent="0.45">
      <c r="A82" s="134" t="s">
        <v>440</v>
      </c>
      <c r="B82" s="246">
        <f ca="1">+B59+B68+B79</f>
        <v>0</v>
      </c>
      <c r="E82" s="272" t="s">
        <v>583</v>
      </c>
      <c r="F82" s="273" cm="1">
        <f t="array" ref="F82:G82">IF(+'Cedula General'!O14:P14&gt; 240*UVT!B11,240*UVT!B11,+'Cedula General'!O14:P14)</f>
        <v>0</v>
      </c>
      <c r="G82" s="273">
        <v>0</v>
      </c>
      <c r="H82" s="274"/>
    </row>
    <row r="83" spans="1:8" x14ac:dyDescent="0.45">
      <c r="A83" s="134" t="s">
        <v>439</v>
      </c>
      <c r="B83" s="246">
        <f ca="1">+B82/2</f>
        <v>0</v>
      </c>
      <c r="E83" s="275"/>
      <c r="F83" s="231"/>
      <c r="G83" s="231"/>
      <c r="H83" s="276"/>
    </row>
    <row r="84" spans="1:8" x14ac:dyDescent="0.45">
      <c r="A84" s="134" t="s">
        <v>438</v>
      </c>
      <c r="B84" s="246">
        <f ca="1">+IF(AND(B83&gt;0,B83&lt;10*UVT!B5),UVT!B5*10,Motor!B83)</f>
        <v>0</v>
      </c>
      <c r="E84" s="275"/>
      <c r="F84" s="231"/>
      <c r="G84" s="231"/>
      <c r="H84" s="276"/>
    </row>
    <row r="85" spans="1:8" x14ac:dyDescent="0.45">
      <c r="E85" s="275"/>
      <c r="F85" s="231"/>
      <c r="G85" s="231"/>
      <c r="H85" s="276"/>
    </row>
    <row r="86" spans="1:8" x14ac:dyDescent="0.45">
      <c r="E86" s="275"/>
      <c r="F86" s="231"/>
      <c r="G86" s="231"/>
      <c r="H86" s="276"/>
    </row>
    <row r="87" spans="1:8" x14ac:dyDescent="0.45">
      <c r="E87" s="275"/>
      <c r="F87" s="231"/>
      <c r="G87" s="231"/>
      <c r="H87" s="276"/>
    </row>
    <row r="88" spans="1:8" x14ac:dyDescent="0.45">
      <c r="E88" s="275"/>
      <c r="F88" s="231"/>
      <c r="G88" s="231"/>
      <c r="H88" s="276"/>
    </row>
    <row r="89" spans="1:8" ht="14.65" thickBot="1" x14ac:dyDescent="0.5">
      <c r="E89" s="277" t="s">
        <v>584</v>
      </c>
      <c r="F89" s="278">
        <f>SUM(F82:F88)</f>
        <v>0</v>
      </c>
      <c r="G89" s="278"/>
      <c r="H89" s="279"/>
    </row>
  </sheetData>
  <mergeCells count="21">
    <mergeCell ref="E81:H81"/>
    <mergeCell ref="A1:B1"/>
    <mergeCell ref="E1:H1"/>
    <mergeCell ref="E20:H20"/>
    <mergeCell ref="J26:M26"/>
    <mergeCell ref="E31:H31"/>
    <mergeCell ref="J13:K13"/>
    <mergeCell ref="J1:O1"/>
    <mergeCell ref="J2:K2"/>
    <mergeCell ref="J3:K3"/>
    <mergeCell ref="J11:K11"/>
    <mergeCell ref="J12:K12"/>
    <mergeCell ref="J18:M18"/>
    <mergeCell ref="J49:M49"/>
    <mergeCell ref="A15:B15"/>
    <mergeCell ref="E49:F49"/>
    <mergeCell ref="A47:B47"/>
    <mergeCell ref="E64:H64"/>
    <mergeCell ref="A34:B34"/>
    <mergeCell ref="J34:M34"/>
    <mergeCell ref="J44:M4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0116821-675E-433C-862E-32D802A9F061}">
          <x14:formula1>
            <xm:f>Tipos!$H$2:$H$4</xm:f>
          </x14:formula1>
          <xm:sqref>J25 J27:J28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B6E09-2A8C-4349-A026-F2B5B4F52CC0}">
  <sheetPr codeName="Hoja14"/>
  <dimension ref="A1:C101"/>
  <sheetViews>
    <sheetView zoomScale="90" zoomScaleNormal="90" workbookViewId="0">
      <selection activeCell="C2" sqref="C2:C101"/>
    </sheetView>
  </sheetViews>
  <sheetFormatPr baseColWidth="10" defaultRowHeight="15.75" x14ac:dyDescent="0.5"/>
  <cols>
    <col min="1" max="2" width="17.3984375" style="237" customWidth="1"/>
    <col min="3" max="3" width="14.73046875" customWidth="1"/>
  </cols>
  <sheetData>
    <row r="1" spans="1:3" ht="30" x14ac:dyDescent="0.45">
      <c r="A1" s="236" t="s">
        <v>526</v>
      </c>
      <c r="B1" s="236" t="s">
        <v>526</v>
      </c>
      <c r="C1" s="239" t="s">
        <v>446</v>
      </c>
    </row>
    <row r="2" spans="1:3" ht="17.25" x14ac:dyDescent="0.45">
      <c r="A2" s="280">
        <v>1</v>
      </c>
      <c r="B2" s="285">
        <v>45147</v>
      </c>
      <c r="C2" s="238">
        <f>+B2</f>
        <v>45147</v>
      </c>
    </row>
    <row r="3" spans="1:3" ht="17.25" x14ac:dyDescent="0.45">
      <c r="A3" s="281">
        <v>3</v>
      </c>
      <c r="B3" s="285">
        <v>45148</v>
      </c>
      <c r="C3" s="238">
        <f t="shared" ref="C3:C66" si="0">+B3</f>
        <v>45148</v>
      </c>
    </row>
    <row r="4" spans="1:3" ht="17.25" x14ac:dyDescent="0.45">
      <c r="A4" s="280">
        <v>5</v>
      </c>
      <c r="B4" s="285">
        <v>45149</v>
      </c>
      <c r="C4" s="238">
        <f t="shared" si="0"/>
        <v>45149</v>
      </c>
    </row>
    <row r="5" spans="1:3" ht="17.25" x14ac:dyDescent="0.45">
      <c r="A5" s="282">
        <v>7</v>
      </c>
      <c r="B5" s="285">
        <v>45152</v>
      </c>
      <c r="C5" s="238">
        <f t="shared" si="0"/>
        <v>45152</v>
      </c>
    </row>
    <row r="6" spans="1:3" ht="17.25" x14ac:dyDescent="0.45">
      <c r="A6" s="280">
        <v>9</v>
      </c>
      <c r="B6" s="285">
        <v>45153</v>
      </c>
      <c r="C6" s="238">
        <f t="shared" si="0"/>
        <v>45153</v>
      </c>
    </row>
    <row r="7" spans="1:3" ht="17.25" x14ac:dyDescent="0.45">
      <c r="A7" s="282">
        <v>11</v>
      </c>
      <c r="B7" s="285">
        <v>45154</v>
      </c>
      <c r="C7" s="238">
        <f t="shared" si="0"/>
        <v>45154</v>
      </c>
    </row>
    <row r="8" spans="1:3" ht="17.25" x14ac:dyDescent="0.45">
      <c r="A8" s="280">
        <v>13</v>
      </c>
      <c r="B8" s="285">
        <v>45155</v>
      </c>
      <c r="C8" s="238">
        <f t="shared" si="0"/>
        <v>45155</v>
      </c>
    </row>
    <row r="9" spans="1:3" ht="17.25" x14ac:dyDescent="0.45">
      <c r="A9" s="282">
        <v>15</v>
      </c>
      <c r="B9" s="285">
        <v>45156</v>
      </c>
      <c r="C9" s="238">
        <f t="shared" si="0"/>
        <v>45156</v>
      </c>
    </row>
    <row r="10" spans="1:3" ht="17.25" x14ac:dyDescent="0.45">
      <c r="A10" s="280">
        <v>17</v>
      </c>
      <c r="B10" s="285">
        <v>45160</v>
      </c>
      <c r="C10" s="238">
        <f t="shared" si="0"/>
        <v>45160</v>
      </c>
    </row>
    <row r="11" spans="1:3" ht="17.25" x14ac:dyDescent="0.45">
      <c r="A11" s="282">
        <v>19</v>
      </c>
      <c r="B11" s="285">
        <v>45161</v>
      </c>
      <c r="C11" s="238">
        <f t="shared" si="0"/>
        <v>45161</v>
      </c>
    </row>
    <row r="12" spans="1:3" ht="17.25" x14ac:dyDescent="0.45">
      <c r="A12" s="280">
        <v>21</v>
      </c>
      <c r="B12" s="285">
        <v>45162</v>
      </c>
      <c r="C12" s="238">
        <f t="shared" si="0"/>
        <v>45162</v>
      </c>
    </row>
    <row r="13" spans="1:3" ht="17.25" x14ac:dyDescent="0.45">
      <c r="A13" s="282">
        <v>23</v>
      </c>
      <c r="B13" s="285">
        <v>45163</v>
      </c>
      <c r="C13" s="238">
        <f t="shared" si="0"/>
        <v>45163</v>
      </c>
    </row>
    <row r="14" spans="1:3" ht="17.25" x14ac:dyDescent="0.45">
      <c r="A14" s="280">
        <v>25</v>
      </c>
      <c r="B14" s="285">
        <v>45166</v>
      </c>
      <c r="C14" s="238">
        <f t="shared" si="0"/>
        <v>45166</v>
      </c>
    </row>
    <row r="15" spans="1:3" ht="17.25" x14ac:dyDescent="0.45">
      <c r="A15" s="282">
        <v>27</v>
      </c>
      <c r="B15" s="285">
        <v>45167</v>
      </c>
      <c r="C15" s="238">
        <f t="shared" si="0"/>
        <v>45167</v>
      </c>
    </row>
    <row r="16" spans="1:3" ht="17.25" x14ac:dyDescent="0.45">
      <c r="A16" s="280">
        <v>29</v>
      </c>
      <c r="B16" s="285">
        <v>45168</v>
      </c>
      <c r="C16" s="238">
        <f t="shared" si="0"/>
        <v>45168</v>
      </c>
    </row>
    <row r="17" spans="1:3" ht="17.25" x14ac:dyDescent="0.45">
      <c r="A17" s="282">
        <v>31</v>
      </c>
      <c r="B17" s="285">
        <v>45169</v>
      </c>
      <c r="C17" s="238">
        <f t="shared" si="0"/>
        <v>45169</v>
      </c>
    </row>
    <row r="18" spans="1:3" ht="17.25" x14ac:dyDescent="0.45">
      <c r="A18" s="280">
        <v>33</v>
      </c>
      <c r="B18" s="285">
        <v>45170</v>
      </c>
      <c r="C18" s="238">
        <f t="shared" si="0"/>
        <v>45170</v>
      </c>
    </row>
    <row r="19" spans="1:3" ht="17.25" x14ac:dyDescent="0.45">
      <c r="A19" s="282">
        <v>35</v>
      </c>
      <c r="B19" s="285">
        <v>45173</v>
      </c>
      <c r="C19" s="238">
        <f t="shared" si="0"/>
        <v>45173</v>
      </c>
    </row>
    <row r="20" spans="1:3" ht="17.25" x14ac:dyDescent="0.45">
      <c r="A20" s="280">
        <v>37</v>
      </c>
      <c r="B20" s="285">
        <v>45174</v>
      </c>
      <c r="C20" s="238">
        <f t="shared" si="0"/>
        <v>45174</v>
      </c>
    </row>
    <row r="21" spans="1:3" ht="17.25" x14ac:dyDescent="0.45">
      <c r="A21" s="282">
        <v>39</v>
      </c>
      <c r="B21" s="285">
        <v>45175</v>
      </c>
      <c r="C21" s="238">
        <f t="shared" si="0"/>
        <v>45175</v>
      </c>
    </row>
    <row r="22" spans="1:3" ht="17.25" x14ac:dyDescent="0.45">
      <c r="A22" s="280">
        <v>41</v>
      </c>
      <c r="B22" s="285">
        <v>45176</v>
      </c>
      <c r="C22" s="238">
        <f t="shared" si="0"/>
        <v>45176</v>
      </c>
    </row>
    <row r="23" spans="1:3" ht="17.25" x14ac:dyDescent="0.45">
      <c r="A23" s="282">
        <v>43</v>
      </c>
      <c r="B23" s="285">
        <v>45177</v>
      </c>
      <c r="C23" s="238">
        <f t="shared" si="0"/>
        <v>45177</v>
      </c>
    </row>
    <row r="24" spans="1:3" ht="17.25" x14ac:dyDescent="0.45">
      <c r="A24" s="280">
        <v>45</v>
      </c>
      <c r="B24" s="285">
        <v>45180</v>
      </c>
      <c r="C24" s="238">
        <f t="shared" si="0"/>
        <v>45180</v>
      </c>
    </row>
    <row r="25" spans="1:3" ht="17.25" x14ac:dyDescent="0.45">
      <c r="A25" s="282">
        <v>47</v>
      </c>
      <c r="B25" s="285">
        <v>45181</v>
      </c>
      <c r="C25" s="238">
        <f t="shared" si="0"/>
        <v>45181</v>
      </c>
    </row>
    <row r="26" spans="1:3" ht="17.25" x14ac:dyDescent="0.45">
      <c r="A26" s="280">
        <v>49</v>
      </c>
      <c r="B26" s="285">
        <v>45182</v>
      </c>
      <c r="C26" s="238">
        <f t="shared" si="0"/>
        <v>45182</v>
      </c>
    </row>
    <row r="27" spans="1:3" ht="17.25" x14ac:dyDescent="0.45">
      <c r="A27" s="280">
        <v>51</v>
      </c>
      <c r="B27" s="285">
        <v>45183</v>
      </c>
      <c r="C27" s="238">
        <f t="shared" si="0"/>
        <v>45183</v>
      </c>
    </row>
    <row r="28" spans="1:3" ht="17.25" x14ac:dyDescent="0.45">
      <c r="A28" s="281">
        <v>53</v>
      </c>
      <c r="B28" s="285">
        <v>45184</v>
      </c>
      <c r="C28" s="238">
        <f t="shared" si="0"/>
        <v>45184</v>
      </c>
    </row>
    <row r="29" spans="1:3" ht="17.25" x14ac:dyDescent="0.45">
      <c r="A29" s="280">
        <v>55</v>
      </c>
      <c r="B29" s="285">
        <v>45187</v>
      </c>
      <c r="C29" s="238">
        <f t="shared" si="0"/>
        <v>45187</v>
      </c>
    </row>
    <row r="30" spans="1:3" ht="17.25" x14ac:dyDescent="0.45">
      <c r="A30" s="282">
        <v>57</v>
      </c>
      <c r="B30" s="285">
        <v>45188</v>
      </c>
      <c r="C30" s="238">
        <f t="shared" si="0"/>
        <v>45188</v>
      </c>
    </row>
    <row r="31" spans="1:3" ht="17.25" x14ac:dyDescent="0.45">
      <c r="A31" s="280">
        <v>59</v>
      </c>
      <c r="B31" s="285">
        <v>45189</v>
      </c>
      <c r="C31" s="238">
        <f t="shared" si="0"/>
        <v>45189</v>
      </c>
    </row>
    <row r="32" spans="1:3" ht="17.25" x14ac:dyDescent="0.45">
      <c r="A32" s="282">
        <v>61</v>
      </c>
      <c r="B32" s="285">
        <v>45190</v>
      </c>
      <c r="C32" s="238">
        <f t="shared" si="0"/>
        <v>45190</v>
      </c>
    </row>
    <row r="33" spans="1:3" ht="17.25" x14ac:dyDescent="0.45">
      <c r="A33" s="280">
        <v>63</v>
      </c>
      <c r="B33" s="285">
        <v>45191</v>
      </c>
      <c r="C33" s="238">
        <f t="shared" si="0"/>
        <v>45191</v>
      </c>
    </row>
    <row r="34" spans="1:3" ht="17.25" x14ac:dyDescent="0.45">
      <c r="A34" s="282">
        <v>65</v>
      </c>
      <c r="B34" s="285">
        <v>45194</v>
      </c>
      <c r="C34" s="238">
        <f t="shared" si="0"/>
        <v>45194</v>
      </c>
    </row>
    <row r="35" spans="1:3" ht="17.25" x14ac:dyDescent="0.45">
      <c r="A35" s="280">
        <v>67</v>
      </c>
      <c r="B35" s="285">
        <v>45195</v>
      </c>
      <c r="C35" s="238">
        <f t="shared" si="0"/>
        <v>45195</v>
      </c>
    </row>
    <row r="36" spans="1:3" ht="17.25" x14ac:dyDescent="0.45">
      <c r="A36" s="282">
        <v>69</v>
      </c>
      <c r="B36" s="285">
        <v>45196</v>
      </c>
      <c r="C36" s="238">
        <f t="shared" si="0"/>
        <v>45196</v>
      </c>
    </row>
    <row r="37" spans="1:3" ht="17.25" x14ac:dyDescent="0.45">
      <c r="A37" s="280">
        <v>71</v>
      </c>
      <c r="B37" s="285">
        <v>45197</v>
      </c>
      <c r="C37" s="238">
        <f t="shared" si="0"/>
        <v>45197</v>
      </c>
    </row>
    <row r="38" spans="1:3" ht="17.25" x14ac:dyDescent="0.45">
      <c r="A38" s="282">
        <v>73</v>
      </c>
      <c r="B38" s="285">
        <v>45198</v>
      </c>
      <c r="C38" s="238">
        <f t="shared" si="0"/>
        <v>45198</v>
      </c>
    </row>
    <row r="39" spans="1:3" ht="17.25" x14ac:dyDescent="0.45">
      <c r="A39" s="280">
        <v>75</v>
      </c>
      <c r="B39" s="285">
        <v>45201</v>
      </c>
      <c r="C39" s="238">
        <f t="shared" si="0"/>
        <v>45201</v>
      </c>
    </row>
    <row r="40" spans="1:3" ht="17.25" x14ac:dyDescent="0.45">
      <c r="A40" s="282">
        <v>77</v>
      </c>
      <c r="B40" s="285">
        <v>45202</v>
      </c>
      <c r="C40" s="238">
        <f t="shared" si="0"/>
        <v>45202</v>
      </c>
    </row>
    <row r="41" spans="1:3" ht="17.25" x14ac:dyDescent="0.45">
      <c r="A41" s="280">
        <v>79</v>
      </c>
      <c r="B41" s="285">
        <v>45203</v>
      </c>
      <c r="C41" s="238">
        <f t="shared" si="0"/>
        <v>45203</v>
      </c>
    </row>
    <row r="42" spans="1:3" ht="17.25" x14ac:dyDescent="0.45">
      <c r="A42" s="282">
        <v>81</v>
      </c>
      <c r="B42" s="285">
        <v>45204</v>
      </c>
      <c r="C42" s="238">
        <f t="shared" si="0"/>
        <v>45204</v>
      </c>
    </row>
    <row r="43" spans="1:3" ht="17.25" x14ac:dyDescent="0.45">
      <c r="A43" s="280">
        <v>83</v>
      </c>
      <c r="B43" s="285">
        <v>45205</v>
      </c>
      <c r="C43" s="238">
        <f t="shared" si="0"/>
        <v>45205</v>
      </c>
    </row>
    <row r="44" spans="1:3" ht="17.25" x14ac:dyDescent="0.45">
      <c r="A44" s="282">
        <v>85</v>
      </c>
      <c r="B44" s="285">
        <v>45208</v>
      </c>
      <c r="C44" s="238">
        <f t="shared" si="0"/>
        <v>45208</v>
      </c>
    </row>
    <row r="45" spans="1:3" ht="17.25" x14ac:dyDescent="0.45">
      <c r="A45" s="280">
        <v>87</v>
      </c>
      <c r="B45" s="285">
        <v>45209</v>
      </c>
      <c r="C45" s="238">
        <f t="shared" si="0"/>
        <v>45209</v>
      </c>
    </row>
    <row r="46" spans="1:3" ht="17.25" x14ac:dyDescent="0.45">
      <c r="A46" s="282">
        <v>89</v>
      </c>
      <c r="B46" s="285">
        <v>45210</v>
      </c>
      <c r="C46" s="238">
        <f t="shared" si="0"/>
        <v>45210</v>
      </c>
    </row>
    <row r="47" spans="1:3" ht="17.25" x14ac:dyDescent="0.45">
      <c r="A47" s="280">
        <v>91</v>
      </c>
      <c r="B47" s="285">
        <v>45211</v>
      </c>
      <c r="C47" s="238">
        <f t="shared" si="0"/>
        <v>45211</v>
      </c>
    </row>
    <row r="48" spans="1:3" ht="17.25" x14ac:dyDescent="0.45">
      <c r="A48" s="282">
        <v>93</v>
      </c>
      <c r="B48" s="285">
        <v>45212</v>
      </c>
      <c r="C48" s="238">
        <f t="shared" si="0"/>
        <v>45212</v>
      </c>
    </row>
    <row r="49" spans="1:3" ht="17.25" x14ac:dyDescent="0.45">
      <c r="A49" s="280">
        <v>95</v>
      </c>
      <c r="B49" s="285">
        <v>45216</v>
      </c>
      <c r="C49" s="238">
        <f t="shared" si="0"/>
        <v>45216</v>
      </c>
    </row>
    <row r="50" spans="1:3" ht="17.25" x14ac:dyDescent="0.45">
      <c r="A50" s="282">
        <v>97</v>
      </c>
      <c r="B50" s="285">
        <v>45217</v>
      </c>
      <c r="C50" s="238">
        <f t="shared" si="0"/>
        <v>45217</v>
      </c>
    </row>
    <row r="51" spans="1:3" ht="17.25" x14ac:dyDescent="0.45">
      <c r="A51" s="280">
        <v>99</v>
      </c>
      <c r="B51" s="286">
        <v>45218</v>
      </c>
      <c r="C51" s="238">
        <f t="shared" si="0"/>
        <v>45218</v>
      </c>
    </row>
    <row r="52" spans="1:3" ht="17.25" x14ac:dyDescent="0.5">
      <c r="A52" s="283">
        <v>2</v>
      </c>
      <c r="B52" s="287">
        <v>45147</v>
      </c>
      <c r="C52" s="238">
        <f>+B52</f>
        <v>45147</v>
      </c>
    </row>
    <row r="53" spans="1:3" ht="17.25" x14ac:dyDescent="0.5">
      <c r="A53" s="281">
        <v>4</v>
      </c>
      <c r="B53" s="287">
        <v>45148</v>
      </c>
      <c r="C53" s="238">
        <f t="shared" si="0"/>
        <v>45148</v>
      </c>
    </row>
    <row r="54" spans="1:3" ht="17.25" x14ac:dyDescent="0.5">
      <c r="A54" s="284">
        <v>6</v>
      </c>
      <c r="B54" s="287">
        <v>45149</v>
      </c>
      <c r="C54" s="238">
        <f t="shared" si="0"/>
        <v>45149</v>
      </c>
    </row>
    <row r="55" spans="1:3" ht="17.25" x14ac:dyDescent="0.5">
      <c r="A55" s="282">
        <v>8</v>
      </c>
      <c r="B55" s="287">
        <v>45152</v>
      </c>
      <c r="C55" s="238">
        <f t="shared" si="0"/>
        <v>45152</v>
      </c>
    </row>
    <row r="56" spans="1:3" ht="17.25" x14ac:dyDescent="0.5">
      <c r="A56" s="284">
        <v>10</v>
      </c>
      <c r="B56" s="287">
        <v>45153</v>
      </c>
      <c r="C56" s="238">
        <f t="shared" si="0"/>
        <v>45153</v>
      </c>
    </row>
    <row r="57" spans="1:3" ht="17.25" x14ac:dyDescent="0.5">
      <c r="A57" s="282">
        <v>12</v>
      </c>
      <c r="B57" s="287">
        <v>45154</v>
      </c>
      <c r="C57" s="238">
        <f t="shared" si="0"/>
        <v>45154</v>
      </c>
    </row>
    <row r="58" spans="1:3" ht="17.25" x14ac:dyDescent="0.5">
      <c r="A58" s="284">
        <v>14</v>
      </c>
      <c r="B58" s="287">
        <v>45155</v>
      </c>
      <c r="C58" s="238">
        <f t="shared" si="0"/>
        <v>45155</v>
      </c>
    </row>
    <row r="59" spans="1:3" ht="17.25" x14ac:dyDescent="0.5">
      <c r="A59" s="282">
        <v>16</v>
      </c>
      <c r="B59" s="287">
        <v>45156</v>
      </c>
      <c r="C59" s="238">
        <f t="shared" si="0"/>
        <v>45156</v>
      </c>
    </row>
    <row r="60" spans="1:3" ht="17.25" x14ac:dyDescent="0.5">
      <c r="A60" s="284">
        <v>18</v>
      </c>
      <c r="B60" s="287">
        <v>45160</v>
      </c>
      <c r="C60" s="238">
        <f t="shared" si="0"/>
        <v>45160</v>
      </c>
    </row>
    <row r="61" spans="1:3" ht="17.25" x14ac:dyDescent="0.5">
      <c r="A61" s="282">
        <v>20</v>
      </c>
      <c r="B61" s="287">
        <v>45161</v>
      </c>
      <c r="C61" s="238">
        <f t="shared" si="0"/>
        <v>45161</v>
      </c>
    </row>
    <row r="62" spans="1:3" ht="17.25" x14ac:dyDescent="0.5">
      <c r="A62" s="284">
        <v>22</v>
      </c>
      <c r="B62" s="287">
        <v>45162</v>
      </c>
      <c r="C62" s="238">
        <f t="shared" si="0"/>
        <v>45162</v>
      </c>
    </row>
    <row r="63" spans="1:3" ht="17.25" x14ac:dyDescent="0.5">
      <c r="A63" s="282">
        <v>24</v>
      </c>
      <c r="B63" s="287">
        <v>45163</v>
      </c>
      <c r="C63" s="238">
        <f t="shared" si="0"/>
        <v>45163</v>
      </c>
    </row>
    <row r="64" spans="1:3" ht="17.25" x14ac:dyDescent="0.5">
      <c r="A64" s="284">
        <v>26</v>
      </c>
      <c r="B64" s="287">
        <v>45166</v>
      </c>
      <c r="C64" s="238">
        <f t="shared" si="0"/>
        <v>45166</v>
      </c>
    </row>
    <row r="65" spans="1:3" ht="17.25" x14ac:dyDescent="0.5">
      <c r="A65" s="282">
        <v>28</v>
      </c>
      <c r="B65" s="287">
        <v>45167</v>
      </c>
      <c r="C65" s="238">
        <f t="shared" si="0"/>
        <v>45167</v>
      </c>
    </row>
    <row r="66" spans="1:3" ht="17.25" x14ac:dyDescent="0.5">
      <c r="A66" s="284">
        <v>30</v>
      </c>
      <c r="B66" s="287">
        <v>45168</v>
      </c>
      <c r="C66" s="238">
        <f t="shared" si="0"/>
        <v>45168</v>
      </c>
    </row>
    <row r="67" spans="1:3" ht="17.25" x14ac:dyDescent="0.5">
      <c r="A67" s="282">
        <v>32</v>
      </c>
      <c r="B67" s="287">
        <v>45169</v>
      </c>
      <c r="C67" s="238">
        <f t="shared" ref="C67:C101" si="1">+B67</f>
        <v>45169</v>
      </c>
    </row>
    <row r="68" spans="1:3" ht="17.25" x14ac:dyDescent="0.5">
      <c r="A68" s="284">
        <v>34</v>
      </c>
      <c r="B68" s="287">
        <v>45170</v>
      </c>
      <c r="C68" s="238">
        <f t="shared" si="1"/>
        <v>45170</v>
      </c>
    </row>
    <row r="69" spans="1:3" ht="17.25" x14ac:dyDescent="0.5">
      <c r="A69" s="282">
        <v>36</v>
      </c>
      <c r="B69" s="287">
        <v>45173</v>
      </c>
      <c r="C69" s="238">
        <f t="shared" si="1"/>
        <v>45173</v>
      </c>
    </row>
    <row r="70" spans="1:3" ht="17.25" x14ac:dyDescent="0.5">
      <c r="A70" s="284">
        <v>38</v>
      </c>
      <c r="B70" s="287">
        <v>45174</v>
      </c>
      <c r="C70" s="238">
        <f t="shared" si="1"/>
        <v>45174</v>
      </c>
    </row>
    <row r="71" spans="1:3" ht="17.25" x14ac:dyDescent="0.5">
      <c r="A71" s="282">
        <v>40</v>
      </c>
      <c r="B71" s="287">
        <v>45175</v>
      </c>
      <c r="C71" s="238">
        <f t="shared" si="1"/>
        <v>45175</v>
      </c>
    </row>
    <row r="72" spans="1:3" ht="17.25" x14ac:dyDescent="0.5">
      <c r="A72" s="284">
        <v>42</v>
      </c>
      <c r="B72" s="287">
        <v>45176</v>
      </c>
      <c r="C72" s="238">
        <f t="shared" si="1"/>
        <v>45176</v>
      </c>
    </row>
    <row r="73" spans="1:3" ht="17.25" x14ac:dyDescent="0.5">
      <c r="A73" s="282">
        <v>44</v>
      </c>
      <c r="B73" s="287">
        <v>45177</v>
      </c>
      <c r="C73" s="238">
        <f t="shared" si="1"/>
        <v>45177</v>
      </c>
    </row>
    <row r="74" spans="1:3" ht="17.25" x14ac:dyDescent="0.5">
      <c r="A74" s="284">
        <v>46</v>
      </c>
      <c r="B74" s="287">
        <v>45180</v>
      </c>
      <c r="C74" s="238">
        <f t="shared" si="1"/>
        <v>45180</v>
      </c>
    </row>
    <row r="75" spans="1:3" ht="17.25" x14ac:dyDescent="0.5">
      <c r="A75" s="282">
        <v>48</v>
      </c>
      <c r="B75" s="287">
        <v>45181</v>
      </c>
      <c r="C75" s="238">
        <f t="shared" si="1"/>
        <v>45181</v>
      </c>
    </row>
    <row r="76" spans="1:3" ht="17.25" x14ac:dyDescent="0.5">
      <c r="A76" s="284">
        <v>50</v>
      </c>
      <c r="B76" s="287">
        <v>45182</v>
      </c>
      <c r="C76" s="238">
        <f t="shared" si="1"/>
        <v>45182</v>
      </c>
    </row>
    <row r="77" spans="1:3" ht="17.25" x14ac:dyDescent="0.5">
      <c r="A77" s="283">
        <v>52</v>
      </c>
      <c r="B77" s="287">
        <v>45183</v>
      </c>
      <c r="C77" s="238">
        <f t="shared" si="1"/>
        <v>45183</v>
      </c>
    </row>
    <row r="78" spans="1:3" ht="17.25" x14ac:dyDescent="0.5">
      <c r="A78" s="281">
        <v>54</v>
      </c>
      <c r="B78" s="287">
        <v>45184</v>
      </c>
      <c r="C78" s="238">
        <f t="shared" si="1"/>
        <v>45184</v>
      </c>
    </row>
    <row r="79" spans="1:3" ht="17.25" x14ac:dyDescent="0.5">
      <c r="A79" s="284">
        <v>56</v>
      </c>
      <c r="B79" s="287">
        <v>45187</v>
      </c>
      <c r="C79" s="238">
        <f t="shared" si="1"/>
        <v>45187</v>
      </c>
    </row>
    <row r="80" spans="1:3" ht="17.25" x14ac:dyDescent="0.5">
      <c r="A80" s="282">
        <v>58</v>
      </c>
      <c r="B80" s="287">
        <v>45188</v>
      </c>
      <c r="C80" s="238">
        <f t="shared" si="1"/>
        <v>45188</v>
      </c>
    </row>
    <row r="81" spans="1:3" ht="17.25" x14ac:dyDescent="0.5">
      <c r="A81" s="284">
        <v>60</v>
      </c>
      <c r="B81" s="287">
        <v>45189</v>
      </c>
      <c r="C81" s="238">
        <f t="shared" si="1"/>
        <v>45189</v>
      </c>
    </row>
    <row r="82" spans="1:3" ht="17.25" x14ac:dyDescent="0.5">
      <c r="A82" s="282">
        <v>62</v>
      </c>
      <c r="B82" s="287">
        <v>45190</v>
      </c>
      <c r="C82" s="238">
        <f t="shared" si="1"/>
        <v>45190</v>
      </c>
    </row>
    <row r="83" spans="1:3" ht="17.25" x14ac:dyDescent="0.5">
      <c r="A83" s="284">
        <v>64</v>
      </c>
      <c r="B83" s="287">
        <v>45191</v>
      </c>
      <c r="C83" s="238">
        <f t="shared" si="1"/>
        <v>45191</v>
      </c>
    </row>
    <row r="84" spans="1:3" ht="17.25" x14ac:dyDescent="0.5">
      <c r="A84" s="282">
        <v>66</v>
      </c>
      <c r="B84" s="287">
        <v>45194</v>
      </c>
      <c r="C84" s="238">
        <f t="shared" si="1"/>
        <v>45194</v>
      </c>
    </row>
    <row r="85" spans="1:3" ht="17.25" x14ac:dyDescent="0.5">
      <c r="A85" s="284">
        <v>68</v>
      </c>
      <c r="B85" s="287">
        <v>45195</v>
      </c>
      <c r="C85" s="238">
        <f t="shared" si="1"/>
        <v>45195</v>
      </c>
    </row>
    <row r="86" spans="1:3" ht="17.25" x14ac:dyDescent="0.5">
      <c r="A86" s="282">
        <v>70</v>
      </c>
      <c r="B86" s="287">
        <v>45196</v>
      </c>
      <c r="C86" s="238">
        <f t="shared" si="1"/>
        <v>45196</v>
      </c>
    </row>
    <row r="87" spans="1:3" ht="17.25" x14ac:dyDescent="0.5">
      <c r="A87" s="284">
        <v>72</v>
      </c>
      <c r="B87" s="287">
        <v>45197</v>
      </c>
      <c r="C87" s="238">
        <f t="shared" si="1"/>
        <v>45197</v>
      </c>
    </row>
    <row r="88" spans="1:3" ht="17.25" x14ac:dyDescent="0.5">
      <c r="A88" s="282">
        <v>74</v>
      </c>
      <c r="B88" s="287">
        <v>45198</v>
      </c>
      <c r="C88" s="238">
        <f t="shared" si="1"/>
        <v>45198</v>
      </c>
    </row>
    <row r="89" spans="1:3" ht="17.25" x14ac:dyDescent="0.5">
      <c r="A89" s="284">
        <v>76</v>
      </c>
      <c r="B89" s="287">
        <v>45201</v>
      </c>
      <c r="C89" s="238">
        <f t="shared" si="1"/>
        <v>45201</v>
      </c>
    </row>
    <row r="90" spans="1:3" ht="17.25" x14ac:dyDescent="0.5">
      <c r="A90" s="282">
        <v>78</v>
      </c>
      <c r="B90" s="287">
        <v>45202</v>
      </c>
      <c r="C90" s="238">
        <f t="shared" si="1"/>
        <v>45202</v>
      </c>
    </row>
    <row r="91" spans="1:3" ht="17.25" x14ac:dyDescent="0.5">
      <c r="A91" s="284">
        <v>80</v>
      </c>
      <c r="B91" s="287">
        <v>45203</v>
      </c>
      <c r="C91" s="238">
        <f t="shared" si="1"/>
        <v>45203</v>
      </c>
    </row>
    <row r="92" spans="1:3" ht="17.25" x14ac:dyDescent="0.5">
      <c r="A92" s="282">
        <v>82</v>
      </c>
      <c r="B92" s="287">
        <v>45204</v>
      </c>
      <c r="C92" s="238">
        <f t="shared" si="1"/>
        <v>45204</v>
      </c>
    </row>
    <row r="93" spans="1:3" ht="17.25" x14ac:dyDescent="0.5">
      <c r="A93" s="284">
        <v>84</v>
      </c>
      <c r="B93" s="287">
        <v>45205</v>
      </c>
      <c r="C93" s="238">
        <f t="shared" si="1"/>
        <v>45205</v>
      </c>
    </row>
    <row r="94" spans="1:3" ht="17.25" x14ac:dyDescent="0.5">
      <c r="A94" s="282">
        <v>86</v>
      </c>
      <c r="B94" s="287">
        <v>45208</v>
      </c>
      <c r="C94" s="238">
        <f t="shared" si="1"/>
        <v>45208</v>
      </c>
    </row>
    <row r="95" spans="1:3" ht="17.25" x14ac:dyDescent="0.5">
      <c r="A95" s="284">
        <v>88</v>
      </c>
      <c r="B95" s="287">
        <v>45209</v>
      </c>
      <c r="C95" s="238">
        <f t="shared" si="1"/>
        <v>45209</v>
      </c>
    </row>
    <row r="96" spans="1:3" ht="17.25" x14ac:dyDescent="0.5">
      <c r="A96" s="282">
        <v>90</v>
      </c>
      <c r="B96" s="287">
        <v>45210</v>
      </c>
      <c r="C96" s="238">
        <f t="shared" si="1"/>
        <v>45210</v>
      </c>
    </row>
    <row r="97" spans="1:3" ht="17.25" x14ac:dyDescent="0.5">
      <c r="A97" s="284">
        <v>92</v>
      </c>
      <c r="B97" s="287">
        <v>45211</v>
      </c>
      <c r="C97" s="238">
        <f t="shared" si="1"/>
        <v>45211</v>
      </c>
    </row>
    <row r="98" spans="1:3" ht="17.25" x14ac:dyDescent="0.5">
      <c r="A98" s="282">
        <v>94</v>
      </c>
      <c r="B98" s="287">
        <v>45212</v>
      </c>
      <c r="C98" s="238">
        <f t="shared" si="1"/>
        <v>45212</v>
      </c>
    </row>
    <row r="99" spans="1:3" ht="17.25" x14ac:dyDescent="0.5">
      <c r="A99" s="284">
        <v>96</v>
      </c>
      <c r="B99" s="287">
        <v>45216</v>
      </c>
      <c r="C99" s="238">
        <f t="shared" si="1"/>
        <v>45216</v>
      </c>
    </row>
    <row r="100" spans="1:3" ht="17.25" x14ac:dyDescent="0.5">
      <c r="A100" s="282">
        <v>98</v>
      </c>
      <c r="B100" s="287">
        <v>45217</v>
      </c>
      <c r="C100" s="238">
        <f t="shared" si="1"/>
        <v>45217</v>
      </c>
    </row>
    <row r="101" spans="1:3" ht="17.25" x14ac:dyDescent="0.5">
      <c r="A101" s="284">
        <v>0</v>
      </c>
      <c r="B101" s="287">
        <v>45218</v>
      </c>
      <c r="C101" s="238">
        <f t="shared" si="1"/>
        <v>45218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357C8-4ADF-4801-BE40-118DEAF0946D}">
  <sheetPr codeName="Hoja12"/>
  <dimension ref="A1:AV81"/>
  <sheetViews>
    <sheetView showGridLines="0" topLeftCell="A2" zoomScale="80" zoomScaleNormal="80" workbookViewId="0">
      <selection activeCell="AT16" sqref="AT16"/>
    </sheetView>
  </sheetViews>
  <sheetFormatPr baseColWidth="10" defaultColWidth="11.53125" defaultRowHeight="14.25" x14ac:dyDescent="0.45"/>
  <cols>
    <col min="1" max="13" width="3.53125" style="9" customWidth="1"/>
    <col min="14" max="14" width="4.53125" style="9" customWidth="1"/>
    <col min="15" max="16" width="3.53125" style="9" customWidth="1"/>
    <col min="17" max="18" width="2.53125" style="9" customWidth="1"/>
    <col min="19" max="19" width="1.73046875" style="9" customWidth="1"/>
    <col min="20" max="20" width="1.46484375" style="9" customWidth="1"/>
    <col min="21" max="21" width="3.53125" style="9" customWidth="1"/>
    <col min="22" max="22" width="8.06640625" style="9" customWidth="1"/>
    <col min="23" max="23" width="4.46484375" style="9" customWidth="1"/>
    <col min="24" max="25" width="3.53125" style="9" customWidth="1"/>
    <col min="26" max="26" width="8" style="9" customWidth="1"/>
    <col min="27" max="30" width="3.53125" style="9" customWidth="1"/>
    <col min="31" max="31" width="7.19921875" style="9" customWidth="1"/>
    <col min="32" max="34" width="3.53125" style="9" customWidth="1"/>
    <col min="35" max="35" width="5.73046875" style="9" customWidth="1"/>
    <col min="36" max="36" width="6.796875" style="9" customWidth="1"/>
    <col min="37" max="37" width="8.06640625" style="9" customWidth="1"/>
    <col min="38" max="38" width="5.19921875" style="9" customWidth="1"/>
    <col min="39" max="39" width="6.06640625" style="9" customWidth="1"/>
    <col min="40" max="40" width="5.9296875" style="9" customWidth="1"/>
    <col min="41" max="41" width="4.796875" style="9" customWidth="1"/>
    <col min="42" max="43" width="4.73046875" style="9" customWidth="1"/>
    <col min="44" max="44" width="4.46484375" style="9" customWidth="1"/>
    <col min="45" max="45" width="2.796875" style="9" customWidth="1"/>
    <col min="46" max="46" width="17.265625" style="9" customWidth="1"/>
    <col min="47" max="47" width="17.46484375" style="9" customWidth="1"/>
    <col min="48" max="16384" width="11.53125" style="9"/>
  </cols>
  <sheetData>
    <row r="1" spans="1:48" ht="19.899999999999999" customHeight="1" thickBot="1" x14ac:dyDescent="0.5">
      <c r="A1" s="711"/>
      <c r="B1" s="712"/>
      <c r="C1" s="712"/>
      <c r="D1" s="712"/>
      <c r="E1" s="712"/>
      <c r="F1" s="712"/>
      <c r="G1" s="712"/>
      <c r="H1" s="712"/>
      <c r="I1" s="712"/>
      <c r="J1" s="712"/>
      <c r="K1" s="716" t="s">
        <v>281</v>
      </c>
      <c r="L1" s="717"/>
      <c r="M1" s="717"/>
      <c r="N1" s="717"/>
      <c r="O1" s="717"/>
      <c r="P1" s="717"/>
      <c r="Q1" s="717"/>
      <c r="R1" s="717"/>
      <c r="S1" s="717"/>
      <c r="T1" s="717"/>
      <c r="U1" s="717"/>
      <c r="V1" s="717"/>
      <c r="W1" s="717"/>
      <c r="X1" s="717"/>
      <c r="Y1" s="717"/>
      <c r="Z1" s="717"/>
      <c r="AA1" s="717"/>
      <c r="AB1" s="718"/>
      <c r="AC1" s="722" t="s">
        <v>282</v>
      </c>
      <c r="AD1" s="723"/>
      <c r="AE1" s="723"/>
      <c r="AF1" s="723"/>
      <c r="AG1" s="723"/>
      <c r="AH1" s="723"/>
      <c r="AI1" s="723"/>
      <c r="AJ1" s="724"/>
      <c r="AK1" s="728">
        <v>210</v>
      </c>
      <c r="AL1" s="729"/>
      <c r="AM1" s="729"/>
      <c r="AN1" s="729"/>
      <c r="AO1" s="729"/>
      <c r="AP1" s="729"/>
      <c r="AQ1" s="729"/>
      <c r="AR1" s="729"/>
      <c r="AS1" s="734"/>
      <c r="AT1" s="695" t="s">
        <v>283</v>
      </c>
      <c r="AU1" s="696"/>
    </row>
    <row r="2" spans="1:48" ht="15" customHeight="1" x14ac:dyDescent="0.45">
      <c r="A2" s="713"/>
      <c r="B2" s="714"/>
      <c r="C2" s="714"/>
      <c r="D2" s="714"/>
      <c r="E2" s="714"/>
      <c r="F2" s="714"/>
      <c r="G2" s="714"/>
      <c r="H2" s="714"/>
      <c r="I2" s="714"/>
      <c r="J2" s="715"/>
      <c r="K2" s="719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1"/>
      <c r="AC2" s="725"/>
      <c r="AD2" s="725"/>
      <c r="AE2" s="725"/>
      <c r="AF2" s="725"/>
      <c r="AG2" s="725"/>
      <c r="AH2" s="725"/>
      <c r="AI2" s="725"/>
      <c r="AJ2" s="726"/>
      <c r="AK2" s="730"/>
      <c r="AL2" s="731"/>
      <c r="AM2" s="731"/>
      <c r="AN2" s="731"/>
      <c r="AO2" s="731"/>
      <c r="AP2" s="731"/>
      <c r="AQ2" s="731"/>
      <c r="AR2" s="731"/>
      <c r="AS2" s="731"/>
      <c r="AT2" s="697" t="e">
        <f>+VLOOKUP(+RIGHT(Motor!B2,2),Vencimientos!A:B,2,0)</f>
        <v>#N/A</v>
      </c>
      <c r="AU2" s="698"/>
    </row>
    <row r="3" spans="1:48" ht="15" customHeight="1" x14ac:dyDescent="0.45">
      <c r="A3" s="713"/>
      <c r="B3" s="714"/>
      <c r="C3" s="714"/>
      <c r="D3" s="714"/>
      <c r="E3" s="714"/>
      <c r="F3" s="714"/>
      <c r="G3" s="714"/>
      <c r="H3" s="714"/>
      <c r="I3" s="714"/>
      <c r="J3" s="715"/>
      <c r="K3" s="719"/>
      <c r="L3" s="720"/>
      <c r="M3" s="720"/>
      <c r="N3" s="720"/>
      <c r="O3" s="720"/>
      <c r="P3" s="720"/>
      <c r="Q3" s="720"/>
      <c r="R3" s="720"/>
      <c r="S3" s="720"/>
      <c r="T3" s="720"/>
      <c r="U3" s="720"/>
      <c r="V3" s="720"/>
      <c r="W3" s="720"/>
      <c r="X3" s="720"/>
      <c r="Y3" s="720"/>
      <c r="Z3" s="720"/>
      <c r="AA3" s="720"/>
      <c r="AB3" s="721"/>
      <c r="AC3" s="725"/>
      <c r="AD3" s="725"/>
      <c r="AE3" s="725"/>
      <c r="AF3" s="725"/>
      <c r="AG3" s="725"/>
      <c r="AH3" s="725"/>
      <c r="AI3" s="725"/>
      <c r="AJ3" s="726"/>
      <c r="AK3" s="730"/>
      <c r="AL3" s="731"/>
      <c r="AM3" s="731"/>
      <c r="AN3" s="731"/>
      <c r="AO3" s="731"/>
      <c r="AP3" s="731"/>
      <c r="AQ3" s="731"/>
      <c r="AR3" s="731"/>
      <c r="AS3" s="731"/>
      <c r="AT3" s="699"/>
      <c r="AU3" s="700"/>
    </row>
    <row r="4" spans="1:48" ht="37.9" customHeight="1" thickBot="1" x14ac:dyDescent="0.5">
      <c r="A4" s="713"/>
      <c r="B4" s="714"/>
      <c r="C4" s="714"/>
      <c r="D4" s="714"/>
      <c r="E4" s="714"/>
      <c r="F4" s="714"/>
      <c r="G4" s="714"/>
      <c r="H4" s="714"/>
      <c r="I4" s="714"/>
      <c r="J4" s="714"/>
      <c r="K4" s="719"/>
      <c r="L4" s="720"/>
      <c r="M4" s="720"/>
      <c r="N4" s="720"/>
      <c r="O4" s="720"/>
      <c r="P4" s="720"/>
      <c r="Q4" s="720"/>
      <c r="R4" s="720"/>
      <c r="S4" s="720"/>
      <c r="T4" s="720"/>
      <c r="U4" s="720"/>
      <c r="V4" s="720"/>
      <c r="W4" s="720"/>
      <c r="X4" s="720"/>
      <c r="Y4" s="720"/>
      <c r="Z4" s="720"/>
      <c r="AA4" s="720"/>
      <c r="AB4" s="721"/>
      <c r="AC4" s="727"/>
      <c r="AD4" s="725"/>
      <c r="AE4" s="725"/>
      <c r="AF4" s="725"/>
      <c r="AG4" s="725"/>
      <c r="AH4" s="725"/>
      <c r="AI4" s="725"/>
      <c r="AJ4" s="726"/>
      <c r="AK4" s="732"/>
      <c r="AL4" s="733"/>
      <c r="AM4" s="733"/>
      <c r="AN4" s="733"/>
      <c r="AO4" s="733"/>
      <c r="AP4" s="733"/>
      <c r="AQ4" s="733"/>
      <c r="AR4" s="733"/>
      <c r="AS4" s="733"/>
      <c r="AT4" s="701"/>
      <c r="AU4" s="702"/>
    </row>
    <row r="5" spans="1:48" ht="15.7" customHeight="1" thickBot="1" x14ac:dyDescent="0.5">
      <c r="A5" s="10"/>
      <c r="B5" s="11"/>
      <c r="C5" s="703" t="s">
        <v>284</v>
      </c>
      <c r="D5" s="703"/>
      <c r="E5" s="12" t="str">
        <f>+MID(UVT!B10,1,1)</f>
        <v>2</v>
      </c>
      <c r="F5" s="13" t="str">
        <f>+MID(UVT!B10,2,1)</f>
        <v>0</v>
      </c>
      <c r="G5" s="13" t="str">
        <f>+MID(UVT!B10,3,1)</f>
        <v>2</v>
      </c>
      <c r="H5" s="14" t="str">
        <f>+MID(UVT!B10,4,1)</f>
        <v>2</v>
      </c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5"/>
      <c r="Z5" s="16"/>
      <c r="AA5" s="17"/>
      <c r="AB5" s="17"/>
      <c r="AC5" s="17"/>
      <c r="AD5" s="17"/>
      <c r="AE5" s="17"/>
      <c r="AF5" s="704"/>
      <c r="AG5" s="704"/>
      <c r="AH5" s="704"/>
      <c r="AI5" s="704"/>
      <c r="AJ5" s="704"/>
      <c r="AK5" s="704"/>
      <c r="AL5" s="704"/>
      <c r="AM5" s="704"/>
      <c r="AN5" s="704"/>
      <c r="AO5" s="704"/>
      <c r="AP5" s="704"/>
      <c r="AQ5" s="17"/>
      <c r="AR5" s="17"/>
      <c r="AS5" s="18"/>
      <c r="AT5" s="19"/>
      <c r="AU5" s="19"/>
    </row>
    <row r="6" spans="1:48" ht="21" customHeight="1" thickTop="1" x14ac:dyDescent="0.45">
      <c r="A6" s="20"/>
      <c r="B6" s="21"/>
      <c r="C6" s="22"/>
      <c r="D6" s="705" t="s">
        <v>285</v>
      </c>
      <c r="E6" s="705"/>
      <c r="F6" s="705"/>
      <c r="G6" s="705"/>
      <c r="H6" s="705"/>
      <c r="I6" s="705"/>
      <c r="J6" s="705"/>
      <c r="K6" s="705"/>
      <c r="L6" s="705"/>
      <c r="M6" s="705"/>
      <c r="N6" s="705"/>
      <c r="O6" s="705"/>
      <c r="P6" s="705"/>
      <c r="Q6" s="705"/>
      <c r="R6" s="705"/>
      <c r="S6" s="705"/>
      <c r="T6" s="705"/>
      <c r="U6" s="705"/>
      <c r="V6" s="23"/>
      <c r="W6" s="23"/>
      <c r="X6" s="23"/>
      <c r="Y6" s="88"/>
      <c r="Z6" s="24" t="s">
        <v>286</v>
      </c>
      <c r="AA6" s="89"/>
      <c r="AB6" s="89"/>
      <c r="AC6" s="89"/>
      <c r="AD6" s="89"/>
      <c r="AE6" s="89"/>
      <c r="AF6" s="89"/>
      <c r="AG6" s="89"/>
      <c r="AH6" s="89"/>
      <c r="AI6" s="89"/>
      <c r="AJ6" s="89"/>
      <c r="AK6" s="89"/>
      <c r="AL6" s="89"/>
      <c r="AM6" s="89"/>
      <c r="AN6" s="89"/>
      <c r="AO6" s="89"/>
      <c r="AP6" s="89"/>
      <c r="AQ6" s="89"/>
      <c r="AR6" s="89"/>
      <c r="AS6" s="25"/>
      <c r="AT6" s="19"/>
      <c r="AU6" s="19"/>
    </row>
    <row r="7" spans="1:48" ht="20.45" customHeight="1" x14ac:dyDescent="0.45">
      <c r="A7" s="20"/>
      <c r="B7" s="21"/>
      <c r="C7" s="706" t="s">
        <v>287</v>
      </c>
      <c r="D7" s="706"/>
      <c r="E7" s="706"/>
      <c r="F7" s="706"/>
      <c r="G7" s="706"/>
      <c r="H7" s="706"/>
      <c r="I7" s="706"/>
      <c r="J7" s="706"/>
      <c r="K7" s="706"/>
      <c r="L7" s="706"/>
      <c r="M7" s="706"/>
      <c r="N7" s="706"/>
      <c r="O7" s="706"/>
      <c r="P7" s="706"/>
      <c r="Q7" s="706"/>
      <c r="R7" s="706"/>
      <c r="S7" s="706"/>
      <c r="T7" s="706"/>
      <c r="U7" s="706"/>
      <c r="V7" s="26"/>
      <c r="W7" s="26"/>
      <c r="X7" s="26"/>
      <c r="Y7" s="88"/>
      <c r="Z7" s="89"/>
      <c r="AA7" s="89"/>
      <c r="AB7" s="89"/>
      <c r="AC7" s="89"/>
      <c r="AD7" s="89"/>
      <c r="AE7" s="89"/>
      <c r="AF7" s="89"/>
      <c r="AG7" s="89"/>
      <c r="AH7" s="89"/>
      <c r="AI7" s="89"/>
      <c r="AJ7" s="89"/>
      <c r="AK7" s="89"/>
      <c r="AL7" s="89"/>
      <c r="AM7" s="89"/>
      <c r="AN7" s="89"/>
      <c r="AO7" s="89"/>
      <c r="AP7" s="89"/>
      <c r="AQ7" s="89"/>
      <c r="AR7" s="89"/>
      <c r="AS7" s="25"/>
    </row>
    <row r="8" spans="1:48" ht="15" customHeight="1" x14ac:dyDescent="0.45">
      <c r="A8" s="20"/>
      <c r="B8" s="21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1"/>
      <c r="S8" s="22"/>
      <c r="T8" s="22"/>
      <c r="U8" s="22"/>
      <c r="V8" s="22"/>
      <c r="W8" s="22"/>
      <c r="X8" s="22"/>
      <c r="Y8" s="88"/>
      <c r="Z8" s="89"/>
      <c r="AA8" s="89"/>
      <c r="AB8" s="89"/>
      <c r="AC8" s="89"/>
      <c r="AD8" s="89"/>
      <c r="AE8" s="89"/>
      <c r="AF8" s="89"/>
      <c r="AG8" s="89"/>
      <c r="AH8" s="89"/>
      <c r="AI8" s="89"/>
      <c r="AJ8" s="89"/>
      <c r="AK8" s="89"/>
      <c r="AL8" s="89"/>
      <c r="AM8" s="89"/>
      <c r="AN8" s="89"/>
      <c r="AO8" s="89"/>
      <c r="AP8" s="89"/>
      <c r="AQ8" s="89"/>
      <c r="AR8" s="89"/>
      <c r="AS8" s="25"/>
    </row>
    <row r="9" spans="1:48" ht="12.7" customHeight="1" thickBot="1" x14ac:dyDescent="0.5">
      <c r="A9" s="28"/>
      <c r="B9" s="29"/>
      <c r="C9" s="30"/>
      <c r="D9" s="707" t="s">
        <v>288</v>
      </c>
      <c r="E9" s="707"/>
      <c r="F9" s="707"/>
      <c r="G9" s="707"/>
      <c r="H9" s="707"/>
      <c r="I9" s="707"/>
      <c r="J9" s="707"/>
      <c r="K9" s="707"/>
      <c r="L9" s="707"/>
      <c r="M9" s="707"/>
      <c r="N9" s="707"/>
      <c r="O9" s="707"/>
      <c r="P9" s="707"/>
      <c r="Q9" s="707"/>
      <c r="R9" s="29"/>
      <c r="S9" s="30"/>
      <c r="T9" s="30"/>
      <c r="U9" s="30"/>
      <c r="V9" s="30"/>
      <c r="W9" s="30"/>
      <c r="X9" s="30"/>
      <c r="Y9" s="708"/>
      <c r="Z9" s="709"/>
      <c r="AA9" s="709"/>
      <c r="AB9" s="709"/>
      <c r="AC9" s="709"/>
      <c r="AD9" s="709"/>
      <c r="AE9" s="709"/>
      <c r="AF9" s="709"/>
      <c r="AG9" s="709"/>
      <c r="AH9" s="709"/>
      <c r="AI9" s="709"/>
      <c r="AJ9" s="709"/>
      <c r="AK9" s="709"/>
      <c r="AL9" s="709"/>
      <c r="AM9" s="709"/>
      <c r="AN9" s="709"/>
      <c r="AO9" s="709"/>
      <c r="AP9" s="709"/>
      <c r="AQ9" s="709"/>
      <c r="AR9" s="709"/>
      <c r="AS9" s="710"/>
    </row>
    <row r="10" spans="1:48" ht="15" customHeight="1" x14ac:dyDescent="0.45">
      <c r="A10" s="742" t="s">
        <v>289</v>
      </c>
      <c r="B10" s="743"/>
      <c r="C10" s="31" t="s">
        <v>290</v>
      </c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3"/>
      <c r="P10" s="32"/>
      <c r="Q10" s="34" t="s">
        <v>291</v>
      </c>
      <c r="R10" s="31" t="s">
        <v>292</v>
      </c>
      <c r="S10" s="31"/>
      <c r="T10" s="31"/>
      <c r="U10" s="31"/>
      <c r="V10" s="31"/>
      <c r="W10" s="31" t="s">
        <v>293</v>
      </c>
      <c r="X10" s="31"/>
      <c r="Y10" s="31"/>
      <c r="Z10" s="31"/>
      <c r="AA10" s="31"/>
      <c r="AB10" s="31"/>
      <c r="AC10" s="31" t="s">
        <v>294</v>
      </c>
      <c r="AD10" s="31"/>
      <c r="AE10" s="31"/>
      <c r="AF10" s="31"/>
      <c r="AG10" s="31"/>
      <c r="AH10" s="31"/>
      <c r="AI10" s="31"/>
      <c r="AJ10" s="31"/>
      <c r="AK10" s="84"/>
      <c r="AL10" s="31" t="s">
        <v>295</v>
      </c>
      <c r="AM10" s="35"/>
      <c r="AN10" s="32"/>
      <c r="AO10" s="32"/>
      <c r="AP10" s="32"/>
      <c r="AQ10" s="32"/>
      <c r="AR10" s="32"/>
      <c r="AS10" s="36"/>
    </row>
    <row r="11" spans="1:48" ht="14.45" customHeight="1" x14ac:dyDescent="0.45">
      <c r="A11" s="742"/>
      <c r="B11" s="743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37"/>
      <c r="Q11" s="38"/>
      <c r="R11" s="745" t="s">
        <v>296</v>
      </c>
      <c r="S11" s="745"/>
      <c r="T11" s="745"/>
      <c r="U11" s="745"/>
      <c r="V11" s="745"/>
      <c r="W11" s="746"/>
      <c r="X11" s="746"/>
      <c r="Y11" s="746"/>
      <c r="Z11" s="746"/>
      <c r="AA11" s="746"/>
      <c r="AB11" s="746"/>
      <c r="AC11" s="746"/>
      <c r="AD11" s="746"/>
      <c r="AE11" s="746"/>
      <c r="AF11" s="746"/>
      <c r="AG11" s="746"/>
      <c r="AH11" s="746"/>
      <c r="AI11" s="746"/>
      <c r="AJ11" s="746"/>
      <c r="AK11" s="87"/>
      <c r="AL11" s="746"/>
      <c r="AM11" s="746"/>
      <c r="AN11" s="746"/>
      <c r="AO11" s="746"/>
      <c r="AP11" s="746"/>
      <c r="AQ11" s="746"/>
      <c r="AR11" s="746"/>
      <c r="AS11" s="747"/>
    </row>
    <row r="12" spans="1:48" ht="15" customHeight="1" x14ac:dyDescent="0.45">
      <c r="A12" s="742"/>
      <c r="B12" s="743"/>
      <c r="C12" s="39" t="str">
        <f>+MID(Motor!$B$2,1,1)</f>
        <v>0</v>
      </c>
      <c r="D12" s="39" t="str">
        <f>+MID(Motor!$B$2,2,1)</f>
        <v/>
      </c>
      <c r="E12" s="39" t="str">
        <f>+MID(Motor!$B$2,3,1)</f>
        <v/>
      </c>
      <c r="F12" s="39" t="str">
        <f>+MID(Motor!$B$2,4,1)</f>
        <v/>
      </c>
      <c r="G12" s="39" t="str">
        <f>+MID(Motor!$B$2,5,1)</f>
        <v/>
      </c>
      <c r="H12" s="39" t="str">
        <f>+MID(Motor!$B$2,6,1)</f>
        <v/>
      </c>
      <c r="I12" s="39" t="str">
        <f>+MID(Motor!$B$2,7,1)</f>
        <v/>
      </c>
      <c r="J12" s="39" t="str">
        <f>+MID(Motor!$B$2,8,1)</f>
        <v/>
      </c>
      <c r="K12" s="39" t="str">
        <f>+MID(Motor!$B$2,9,1)</f>
        <v/>
      </c>
      <c r="L12" s="39" t="str">
        <f>+MID(Motor!$B$2,10,1)</f>
        <v/>
      </c>
      <c r="M12" s="39" t="str">
        <f>+MID(Motor!$B$2,11,1)</f>
        <v/>
      </c>
      <c r="N12" s="39" t="str">
        <f>+MID(Motor!$B$2,12,1)</f>
        <v/>
      </c>
      <c r="O12" s="39" t="str">
        <f>+MID(Motor!$B$2,13,1)</f>
        <v/>
      </c>
      <c r="P12" s="39"/>
      <c r="Q12" s="40">
        <f>+Motor!B3</f>
        <v>0</v>
      </c>
      <c r="R12" s="748">
        <f>+Motor!B4</f>
        <v>0</v>
      </c>
      <c r="S12" s="749"/>
      <c r="T12" s="749"/>
      <c r="U12" s="749"/>
      <c r="V12" s="749"/>
      <c r="W12" s="749"/>
      <c r="X12" s="749"/>
      <c r="Y12" s="749"/>
      <c r="Z12" s="749"/>
      <c r="AA12" s="749"/>
      <c r="AB12" s="749"/>
      <c r="AC12" s="749"/>
      <c r="AD12" s="749"/>
      <c r="AE12" s="749"/>
      <c r="AF12" s="749"/>
      <c r="AG12" s="749"/>
      <c r="AH12" s="749"/>
      <c r="AI12" s="749"/>
      <c r="AJ12" s="749"/>
      <c r="AK12" s="749"/>
      <c r="AL12" s="749"/>
      <c r="AM12" s="749"/>
      <c r="AN12" s="749"/>
      <c r="AO12" s="749"/>
      <c r="AP12" s="749"/>
      <c r="AQ12" s="749"/>
      <c r="AR12" s="749"/>
      <c r="AS12" s="41"/>
    </row>
    <row r="13" spans="1:48" ht="23.45" customHeight="1" x14ac:dyDescent="0.45">
      <c r="A13" s="742"/>
      <c r="B13" s="743"/>
      <c r="C13" s="750" t="s">
        <v>297</v>
      </c>
      <c r="D13" s="750"/>
      <c r="E13" s="750"/>
      <c r="F13" s="750"/>
      <c r="G13" s="750"/>
      <c r="H13" s="750"/>
      <c r="I13" s="750"/>
      <c r="J13" s="750"/>
      <c r="K13" s="750"/>
      <c r="L13" s="750"/>
      <c r="M13" s="750"/>
      <c r="N13" s="750"/>
      <c r="O13" s="750"/>
      <c r="P13" s="750"/>
      <c r="Q13" s="750"/>
      <c r="R13" s="750"/>
      <c r="S13" s="750"/>
      <c r="T13" s="750"/>
      <c r="U13" s="750"/>
      <c r="V13" s="750"/>
      <c r="W13" s="750"/>
      <c r="X13" s="750"/>
      <c r="Y13" s="750"/>
      <c r="Z13" s="750"/>
      <c r="AA13" s="750"/>
      <c r="AB13" s="750"/>
      <c r="AC13" s="750"/>
      <c r="AD13" s="750"/>
      <c r="AE13" s="750"/>
      <c r="AF13" s="750"/>
      <c r="AG13" s="750"/>
      <c r="AH13" s="750"/>
      <c r="AI13" s="750"/>
      <c r="AJ13" s="750"/>
      <c r="AK13" s="750"/>
      <c r="AL13" s="750"/>
      <c r="AM13" s="750"/>
      <c r="AN13" s="750"/>
      <c r="AO13" s="751" t="s">
        <v>298</v>
      </c>
      <c r="AP13" s="752"/>
      <c r="AQ13" s="752"/>
      <c r="AR13" s="752"/>
      <c r="AS13" s="753"/>
    </row>
    <row r="14" spans="1:48" x14ac:dyDescent="0.45">
      <c r="A14" s="742"/>
      <c r="B14" s="744"/>
      <c r="C14" s="42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4"/>
      <c r="AO14" s="754">
        <f>+Motor!B5</f>
        <v>11</v>
      </c>
      <c r="AP14" s="755"/>
      <c r="AQ14" s="755"/>
      <c r="AR14" s="755"/>
      <c r="AS14" s="756"/>
    </row>
    <row r="15" spans="1:48" ht="26.65" customHeight="1" thickBot="1" x14ac:dyDescent="0.8">
      <c r="A15" s="742"/>
      <c r="B15" s="743"/>
      <c r="C15" s="735" t="s">
        <v>299</v>
      </c>
      <c r="D15" s="735"/>
      <c r="E15" s="735"/>
      <c r="F15" s="735"/>
      <c r="G15" s="735"/>
      <c r="H15" s="735"/>
      <c r="I15" s="45" t="str">
        <f>+MID(Motor!B6,1,1)</f>
        <v>0</v>
      </c>
      <c r="J15" s="39" t="str">
        <f>+MID(Motor!B6,2,1)</f>
        <v>1</v>
      </c>
      <c r="K15" s="39" t="str">
        <f>+MID(Motor!B6,3,1)</f>
        <v>0</v>
      </c>
      <c r="L15" s="39" t="str">
        <f>+MID(Motor!B6,4,1)</f>
        <v/>
      </c>
      <c r="M15" s="46"/>
      <c r="N15" s="46"/>
      <c r="O15" s="47"/>
      <c r="P15" s="736" t="s">
        <v>300</v>
      </c>
      <c r="Q15" s="737"/>
      <c r="R15" s="737"/>
      <c r="S15" s="737"/>
      <c r="T15" s="737"/>
      <c r="U15" s="737"/>
      <c r="V15" s="737"/>
      <c r="W15" s="737"/>
      <c r="X15" s="738" t="s">
        <v>301</v>
      </c>
      <c r="Y15" s="738"/>
      <c r="Z15" s="739"/>
      <c r="AA15" s="739"/>
      <c r="AB15" s="739"/>
      <c r="AC15" s="739"/>
      <c r="AD15" s="740" t="s">
        <v>302</v>
      </c>
      <c r="AE15" s="740"/>
      <c r="AF15" s="740"/>
      <c r="AG15" s="740"/>
      <c r="AH15" s="740"/>
      <c r="AI15" s="740"/>
      <c r="AJ15" s="740"/>
      <c r="AK15" s="107"/>
      <c r="AL15" s="739"/>
      <c r="AM15" s="739"/>
      <c r="AN15" s="739"/>
      <c r="AO15" s="741"/>
      <c r="AP15" s="741"/>
      <c r="AQ15" s="741"/>
      <c r="AR15" s="741"/>
      <c r="AS15" s="48"/>
      <c r="AT15" s="844" t="s">
        <v>441</v>
      </c>
      <c r="AU15" s="843"/>
      <c r="AV15" s="131"/>
    </row>
    <row r="16" spans="1:48" ht="20.45" customHeight="1" thickBot="1" x14ac:dyDescent="0.5">
      <c r="A16" s="646" t="s">
        <v>303</v>
      </c>
      <c r="B16" s="647"/>
      <c r="C16" s="762" t="s">
        <v>304</v>
      </c>
      <c r="D16" s="611"/>
      <c r="E16" s="611"/>
      <c r="F16" s="611"/>
      <c r="G16" s="611"/>
      <c r="H16" s="611"/>
      <c r="I16" s="611"/>
      <c r="J16" s="611"/>
      <c r="K16" s="611"/>
      <c r="L16" s="611"/>
      <c r="M16" s="611"/>
      <c r="N16" s="611"/>
      <c r="O16" s="49">
        <v>28</v>
      </c>
      <c r="P16" s="610">
        <f>ROUND(+SUM(Patrimonio!H10:H27),-3)</f>
        <v>0</v>
      </c>
      <c r="Q16" s="611"/>
      <c r="R16" s="611"/>
      <c r="S16" s="611"/>
      <c r="T16" s="611"/>
      <c r="U16" s="611"/>
      <c r="V16" s="611"/>
      <c r="W16" s="763"/>
      <c r="X16" s="849" t="s">
        <v>321</v>
      </c>
      <c r="Y16" s="850"/>
      <c r="Z16" s="850"/>
      <c r="AA16" s="850"/>
      <c r="AB16" s="850"/>
      <c r="AC16" s="850"/>
      <c r="AD16" s="850"/>
      <c r="AE16" s="850"/>
      <c r="AF16" s="850"/>
      <c r="AG16" s="850"/>
      <c r="AH16" s="850"/>
      <c r="AI16" s="850"/>
      <c r="AJ16" s="850"/>
      <c r="AK16" s="851"/>
      <c r="AL16" s="108">
        <v>68</v>
      </c>
      <c r="AM16" s="852">
        <f>ROUND(+Motor!B44,-3)</f>
        <v>0</v>
      </c>
      <c r="AN16" s="853"/>
      <c r="AO16" s="853"/>
      <c r="AP16" s="853"/>
      <c r="AQ16" s="853"/>
      <c r="AR16" s="853"/>
      <c r="AS16" s="854"/>
    </row>
    <row r="17" spans="1:45" ht="20.45" customHeight="1" x14ac:dyDescent="0.45">
      <c r="A17" s="646"/>
      <c r="B17" s="647"/>
      <c r="C17" s="614" t="s">
        <v>307</v>
      </c>
      <c r="D17" s="615"/>
      <c r="E17" s="615"/>
      <c r="F17" s="615"/>
      <c r="G17" s="615"/>
      <c r="H17" s="615"/>
      <c r="I17" s="615"/>
      <c r="J17" s="615"/>
      <c r="K17" s="615"/>
      <c r="L17" s="615"/>
      <c r="M17" s="615"/>
      <c r="N17" s="615"/>
      <c r="O17" s="38">
        <v>29</v>
      </c>
      <c r="P17" s="616">
        <f>ROUND(+SUM(Patrimonio!O10:O27),-3)</f>
        <v>0</v>
      </c>
      <c r="Q17" s="617"/>
      <c r="R17" s="617"/>
      <c r="S17" s="617"/>
      <c r="T17" s="617"/>
      <c r="U17" s="617"/>
      <c r="V17" s="617"/>
      <c r="W17" s="769"/>
      <c r="X17" s="644" t="s">
        <v>319</v>
      </c>
      <c r="Y17" s="645"/>
      <c r="Z17" s="648" t="s">
        <v>320</v>
      </c>
      <c r="AA17" s="649"/>
      <c r="AB17" s="649"/>
      <c r="AC17" s="649"/>
      <c r="AD17" s="649"/>
      <c r="AE17" s="649"/>
      <c r="AF17" s="649"/>
      <c r="AG17" s="649"/>
      <c r="AH17" s="649"/>
      <c r="AI17" s="649"/>
      <c r="AJ17" s="649"/>
      <c r="AK17" s="649"/>
      <c r="AL17" s="51">
        <v>69</v>
      </c>
      <c r="AM17" s="650">
        <f>ROUND(+Motor!K19,-3)</f>
        <v>0</v>
      </c>
      <c r="AN17" s="651"/>
      <c r="AO17" s="651"/>
      <c r="AP17" s="651"/>
      <c r="AQ17" s="651"/>
      <c r="AR17" s="651"/>
      <c r="AS17" s="652"/>
    </row>
    <row r="18" spans="1:45" ht="20.45" customHeight="1" thickBot="1" x14ac:dyDescent="0.5">
      <c r="A18" s="646"/>
      <c r="B18" s="647"/>
      <c r="C18" s="620" t="s">
        <v>309</v>
      </c>
      <c r="D18" s="620"/>
      <c r="E18" s="620"/>
      <c r="F18" s="620"/>
      <c r="G18" s="620"/>
      <c r="H18" s="620"/>
      <c r="I18" s="620"/>
      <c r="J18" s="620"/>
      <c r="K18" s="620"/>
      <c r="L18" s="620"/>
      <c r="M18" s="620"/>
      <c r="N18" s="620"/>
      <c r="O18" s="50">
        <v>30</v>
      </c>
      <c r="P18" s="621">
        <f>IF(+P16-P17&gt;0,P16-P17,0)</f>
        <v>0</v>
      </c>
      <c r="Q18" s="622"/>
      <c r="R18" s="622"/>
      <c r="S18" s="622"/>
      <c r="T18" s="622"/>
      <c r="U18" s="622"/>
      <c r="V18" s="622"/>
      <c r="W18" s="623"/>
      <c r="X18" s="646"/>
      <c r="Y18" s="647"/>
      <c r="Z18" s="606" t="s">
        <v>308</v>
      </c>
      <c r="AA18" s="607"/>
      <c r="AB18" s="607"/>
      <c r="AC18" s="607"/>
      <c r="AD18" s="607"/>
      <c r="AE18" s="607"/>
      <c r="AF18" s="607"/>
      <c r="AG18" s="607"/>
      <c r="AH18" s="607"/>
      <c r="AI18" s="607"/>
      <c r="AJ18" s="607"/>
      <c r="AK18" s="607"/>
      <c r="AL18" s="49">
        <v>70</v>
      </c>
      <c r="AM18" s="653">
        <f>ROUND(+Motor!K20,-3)</f>
        <v>0</v>
      </c>
      <c r="AN18" s="654"/>
      <c r="AO18" s="654"/>
      <c r="AP18" s="654"/>
      <c r="AQ18" s="654"/>
      <c r="AR18" s="654"/>
      <c r="AS18" s="655"/>
    </row>
    <row r="19" spans="1:45" ht="20.45" customHeight="1" x14ac:dyDescent="0.45">
      <c r="A19" s="646" t="s">
        <v>310</v>
      </c>
      <c r="B19" s="647"/>
      <c r="C19" s="758" t="s">
        <v>311</v>
      </c>
      <c r="D19" s="759"/>
      <c r="E19" s="759"/>
      <c r="F19" s="759"/>
      <c r="G19" s="759"/>
      <c r="H19" s="759"/>
      <c r="I19" s="759"/>
      <c r="J19" s="759"/>
      <c r="K19" s="759"/>
      <c r="L19" s="759"/>
      <c r="M19" s="759"/>
      <c r="N19" s="759"/>
      <c r="O19" s="51">
        <v>31</v>
      </c>
      <c r="P19" s="760">
        <f>ROUND(+Motor!F2,-3)</f>
        <v>0</v>
      </c>
      <c r="Q19" s="759"/>
      <c r="R19" s="759"/>
      <c r="S19" s="759"/>
      <c r="T19" s="759"/>
      <c r="U19" s="759"/>
      <c r="V19" s="759"/>
      <c r="W19" s="761"/>
      <c r="X19" s="646"/>
      <c r="Y19" s="647"/>
      <c r="Z19" s="613" t="s">
        <v>392</v>
      </c>
      <c r="AA19" s="602"/>
      <c r="AB19" s="602"/>
      <c r="AC19" s="602"/>
      <c r="AD19" s="602"/>
      <c r="AE19" s="602"/>
      <c r="AF19" s="602"/>
      <c r="AG19" s="602"/>
      <c r="AH19" s="602"/>
      <c r="AI19" s="602"/>
      <c r="AJ19" s="602"/>
      <c r="AK19" s="602"/>
      <c r="AL19" s="52">
        <v>71</v>
      </c>
      <c r="AM19" s="656">
        <f>+AM17-AM18</f>
        <v>0</v>
      </c>
      <c r="AN19" s="657"/>
      <c r="AO19" s="657"/>
      <c r="AP19" s="657"/>
      <c r="AQ19" s="657"/>
      <c r="AR19" s="657"/>
      <c r="AS19" s="658"/>
    </row>
    <row r="20" spans="1:45" ht="20.45" customHeight="1" x14ac:dyDescent="0.45">
      <c r="A20" s="646"/>
      <c r="B20" s="647"/>
      <c r="C20" s="606" t="s">
        <v>308</v>
      </c>
      <c r="D20" s="607"/>
      <c r="E20" s="607"/>
      <c r="F20" s="607"/>
      <c r="G20" s="607"/>
      <c r="H20" s="607"/>
      <c r="I20" s="607"/>
      <c r="J20" s="607"/>
      <c r="K20" s="607"/>
      <c r="L20" s="607"/>
      <c r="M20" s="607"/>
      <c r="N20" s="607"/>
      <c r="O20" s="49">
        <v>32</v>
      </c>
      <c r="P20" s="610">
        <f>ROUND(+Motor!F3,-3)</f>
        <v>0</v>
      </c>
      <c r="Q20" s="611"/>
      <c r="R20" s="611"/>
      <c r="S20" s="611"/>
      <c r="T20" s="611"/>
      <c r="U20" s="611"/>
      <c r="V20" s="611"/>
      <c r="W20" s="612"/>
      <c r="X20" s="646"/>
      <c r="Y20" s="647"/>
      <c r="Z20" s="619" t="s">
        <v>324</v>
      </c>
      <c r="AA20" s="611"/>
      <c r="AB20" s="611"/>
      <c r="AC20" s="611"/>
      <c r="AD20" s="611"/>
      <c r="AE20" s="611"/>
      <c r="AF20" s="611"/>
      <c r="AG20" s="611"/>
      <c r="AH20" s="611"/>
      <c r="AI20" s="611"/>
      <c r="AJ20" s="611"/>
      <c r="AK20" s="611"/>
      <c r="AL20" s="49">
        <v>72</v>
      </c>
      <c r="AM20" s="653">
        <f>ROUND(+Motor!K22,-3)</f>
        <v>0</v>
      </c>
      <c r="AN20" s="654"/>
      <c r="AO20" s="654"/>
      <c r="AP20" s="654"/>
      <c r="AQ20" s="654"/>
      <c r="AR20" s="654"/>
      <c r="AS20" s="655"/>
    </row>
    <row r="21" spans="1:45" ht="20.45" customHeight="1" thickBot="1" x14ac:dyDescent="0.5">
      <c r="A21" s="646"/>
      <c r="B21" s="647"/>
      <c r="C21" s="770" t="s">
        <v>385</v>
      </c>
      <c r="D21" s="771"/>
      <c r="E21" s="771"/>
      <c r="F21" s="771"/>
      <c r="G21" s="771"/>
      <c r="H21" s="771"/>
      <c r="I21" s="771"/>
      <c r="J21" s="771"/>
      <c r="K21" s="771"/>
      <c r="L21" s="771"/>
      <c r="M21" s="771"/>
      <c r="N21" s="771"/>
      <c r="O21" s="90">
        <v>33</v>
      </c>
      <c r="P21" s="780">
        <f>ROUND(+Motor!F4,-3)</f>
        <v>0</v>
      </c>
      <c r="Q21" s="773"/>
      <c r="R21" s="773"/>
      <c r="S21" s="773"/>
      <c r="T21" s="773"/>
      <c r="U21" s="773"/>
      <c r="V21" s="773"/>
      <c r="W21" s="774"/>
      <c r="X21" s="646"/>
      <c r="Y21" s="647"/>
      <c r="Z21" s="662" t="s">
        <v>393</v>
      </c>
      <c r="AA21" s="663"/>
      <c r="AB21" s="663"/>
      <c r="AC21" s="663"/>
      <c r="AD21" s="663"/>
      <c r="AE21" s="663"/>
      <c r="AF21" s="663"/>
      <c r="AG21" s="663"/>
      <c r="AH21" s="663"/>
      <c r="AI21" s="663"/>
      <c r="AJ21" s="663"/>
      <c r="AK21" s="663"/>
      <c r="AL21" s="55">
        <v>73</v>
      </c>
      <c r="AM21" s="659">
        <f>+AM19-AM20</f>
        <v>0</v>
      </c>
      <c r="AN21" s="660"/>
      <c r="AO21" s="660"/>
      <c r="AP21" s="660"/>
      <c r="AQ21" s="660"/>
      <c r="AR21" s="660"/>
      <c r="AS21" s="661"/>
    </row>
    <row r="22" spans="1:45" ht="20.45" customHeight="1" x14ac:dyDescent="0.45">
      <c r="A22" s="646"/>
      <c r="B22" s="647"/>
      <c r="C22" s="619" t="s">
        <v>392</v>
      </c>
      <c r="D22" s="611"/>
      <c r="E22" s="611"/>
      <c r="F22" s="611"/>
      <c r="G22" s="611"/>
      <c r="H22" s="611"/>
      <c r="I22" s="611"/>
      <c r="J22" s="611"/>
      <c r="K22" s="611"/>
      <c r="L22" s="611"/>
      <c r="M22" s="611"/>
      <c r="N22" s="611"/>
      <c r="O22" s="49">
        <v>34</v>
      </c>
      <c r="P22" s="610">
        <f>ROUND(+P19-P20-P21,-3)</f>
        <v>0</v>
      </c>
      <c r="Q22" s="611"/>
      <c r="R22" s="611"/>
      <c r="S22" s="611"/>
      <c r="T22" s="611"/>
      <c r="U22" s="611"/>
      <c r="V22" s="611"/>
      <c r="W22" s="612"/>
      <c r="X22" s="664" t="s">
        <v>305</v>
      </c>
      <c r="Y22" s="665"/>
      <c r="Z22" s="764" t="s">
        <v>306</v>
      </c>
      <c r="AA22" s="765"/>
      <c r="AB22" s="765"/>
      <c r="AC22" s="765"/>
      <c r="AD22" s="765"/>
      <c r="AE22" s="765"/>
      <c r="AF22" s="765"/>
      <c r="AG22" s="765"/>
      <c r="AH22" s="765"/>
      <c r="AI22" s="765"/>
      <c r="AJ22" s="765"/>
      <c r="AK22" s="765"/>
      <c r="AL22" s="56">
        <v>74</v>
      </c>
      <c r="AM22" s="766">
        <f>ROUND(+Motor!K27,-3)</f>
        <v>0</v>
      </c>
      <c r="AN22" s="767"/>
      <c r="AO22" s="767"/>
      <c r="AP22" s="767"/>
      <c r="AQ22" s="767"/>
      <c r="AR22" s="767"/>
      <c r="AS22" s="768"/>
    </row>
    <row r="23" spans="1:45" ht="14.65" customHeight="1" x14ac:dyDescent="0.45">
      <c r="A23" s="646"/>
      <c r="B23" s="757"/>
      <c r="C23" s="770" t="s">
        <v>315</v>
      </c>
      <c r="D23" s="771"/>
      <c r="E23" s="771"/>
      <c r="F23" s="771"/>
      <c r="G23" s="771"/>
      <c r="H23" s="771"/>
      <c r="I23" s="771"/>
      <c r="J23" s="771"/>
      <c r="K23" s="771"/>
      <c r="L23" s="771"/>
      <c r="M23" s="771"/>
      <c r="N23" s="771"/>
      <c r="O23" s="92">
        <v>35</v>
      </c>
      <c r="P23" s="772">
        <f ca="1">ROUND(+Motor!F14,-3)</f>
        <v>0</v>
      </c>
      <c r="Q23" s="773"/>
      <c r="R23" s="773"/>
      <c r="S23" s="773"/>
      <c r="T23" s="773"/>
      <c r="U23" s="773"/>
      <c r="V23" s="773"/>
      <c r="W23" s="774"/>
      <c r="X23" s="666"/>
      <c r="Y23" s="667"/>
      <c r="Z23" s="636" t="s">
        <v>308</v>
      </c>
      <c r="AA23" s="636"/>
      <c r="AB23" s="636"/>
      <c r="AC23" s="636"/>
      <c r="AD23" s="636"/>
      <c r="AE23" s="636"/>
      <c r="AF23" s="636"/>
      <c r="AG23" s="636"/>
      <c r="AH23" s="636"/>
      <c r="AI23" s="636"/>
      <c r="AJ23" s="636"/>
      <c r="AK23" s="614"/>
      <c r="AL23" s="38">
        <v>75</v>
      </c>
      <c r="AM23" s="679">
        <f>ROUND(+Motor!K30,-3)</f>
        <v>0</v>
      </c>
      <c r="AN23" s="637"/>
      <c r="AO23" s="637"/>
      <c r="AP23" s="637"/>
      <c r="AQ23" s="637"/>
      <c r="AR23" s="637"/>
      <c r="AS23" s="638"/>
    </row>
    <row r="24" spans="1:45" ht="24.5" customHeight="1" thickBot="1" x14ac:dyDescent="0.5">
      <c r="A24" s="646"/>
      <c r="B24" s="647"/>
      <c r="C24" s="775" t="s">
        <v>317</v>
      </c>
      <c r="D24" s="776"/>
      <c r="E24" s="776"/>
      <c r="F24" s="776"/>
      <c r="G24" s="776"/>
      <c r="H24" s="776"/>
      <c r="I24" s="776"/>
      <c r="J24" s="776"/>
      <c r="K24" s="776"/>
      <c r="L24" s="776"/>
      <c r="M24" s="776"/>
      <c r="N24" s="776"/>
      <c r="O24" s="54">
        <v>36</v>
      </c>
      <c r="P24" s="777">
        <f ca="1">ROUND(+Motor!F15,-3)</f>
        <v>0</v>
      </c>
      <c r="Q24" s="778"/>
      <c r="R24" s="778"/>
      <c r="S24" s="778"/>
      <c r="T24" s="778"/>
      <c r="U24" s="778"/>
      <c r="V24" s="778"/>
      <c r="W24" s="779"/>
      <c r="X24" s="666"/>
      <c r="Y24" s="667"/>
      <c r="Z24" s="620" t="s">
        <v>394</v>
      </c>
      <c r="AA24" s="620"/>
      <c r="AB24" s="620"/>
      <c r="AC24" s="620"/>
      <c r="AD24" s="620"/>
      <c r="AE24" s="620"/>
      <c r="AF24" s="620"/>
      <c r="AG24" s="620"/>
      <c r="AH24" s="620"/>
      <c r="AI24" s="620"/>
      <c r="AJ24" s="620"/>
      <c r="AK24" s="624"/>
      <c r="AL24" s="50">
        <v>76</v>
      </c>
      <c r="AM24" s="625">
        <f>+AM22-AM23</f>
        <v>0</v>
      </c>
      <c r="AN24" s="626"/>
      <c r="AO24" s="626"/>
      <c r="AP24" s="626"/>
      <c r="AQ24" s="626"/>
      <c r="AR24" s="626"/>
      <c r="AS24" s="627"/>
    </row>
    <row r="25" spans="1:45" ht="20.45" customHeight="1" thickBot="1" x14ac:dyDescent="0.5">
      <c r="A25" s="646"/>
      <c r="B25" s="647"/>
      <c r="C25" s="639" t="s">
        <v>318</v>
      </c>
      <c r="D25" s="640"/>
      <c r="E25" s="640"/>
      <c r="F25" s="640"/>
      <c r="G25" s="640"/>
      <c r="H25" s="640"/>
      <c r="I25" s="640"/>
      <c r="J25" s="640"/>
      <c r="K25" s="640"/>
      <c r="L25" s="640"/>
      <c r="M25" s="640"/>
      <c r="N25" s="640"/>
      <c r="O25" s="91">
        <v>37</v>
      </c>
      <c r="P25" s="641">
        <f ca="1">+P22-P24</f>
        <v>0</v>
      </c>
      <c r="Q25" s="642"/>
      <c r="R25" s="642"/>
      <c r="S25" s="642"/>
      <c r="T25" s="642"/>
      <c r="U25" s="642"/>
      <c r="V25" s="642"/>
      <c r="W25" s="643"/>
      <c r="X25" s="666"/>
      <c r="Y25" s="667"/>
      <c r="Z25" s="614" t="s">
        <v>312</v>
      </c>
      <c r="AA25" s="615"/>
      <c r="AB25" s="615"/>
      <c r="AC25" s="615"/>
      <c r="AD25" s="615"/>
      <c r="AE25" s="615"/>
      <c r="AF25" s="615"/>
      <c r="AG25" s="615"/>
      <c r="AH25" s="615"/>
      <c r="AI25" s="615"/>
      <c r="AJ25" s="615"/>
      <c r="AK25" s="615"/>
      <c r="AL25" s="38">
        <v>77</v>
      </c>
      <c r="AM25" s="616">
        <f>ROUND(+Motor!K29,-3)</f>
        <v>0</v>
      </c>
      <c r="AN25" s="617"/>
      <c r="AO25" s="617"/>
      <c r="AP25" s="617"/>
      <c r="AQ25" s="617"/>
      <c r="AR25" s="617"/>
      <c r="AS25" s="618"/>
    </row>
    <row r="26" spans="1:45" ht="20.45" customHeight="1" x14ac:dyDescent="0.45">
      <c r="A26" s="683" t="s">
        <v>327</v>
      </c>
      <c r="B26" s="684"/>
      <c r="C26" s="686" t="s">
        <v>328</v>
      </c>
      <c r="D26" s="687"/>
      <c r="E26" s="687"/>
      <c r="F26" s="687"/>
      <c r="G26" s="687"/>
      <c r="H26" s="687"/>
      <c r="I26" s="687"/>
      <c r="J26" s="687"/>
      <c r="K26" s="687"/>
      <c r="L26" s="687"/>
      <c r="M26" s="687"/>
      <c r="N26" s="688"/>
      <c r="O26" s="56">
        <v>38</v>
      </c>
      <c r="P26" s="676">
        <f>ROUND(+Motor!F21,-3)</f>
        <v>0</v>
      </c>
      <c r="Q26" s="677"/>
      <c r="R26" s="677"/>
      <c r="S26" s="677"/>
      <c r="T26" s="677"/>
      <c r="U26" s="677"/>
      <c r="V26" s="677"/>
      <c r="W26" s="678"/>
      <c r="X26" s="666"/>
      <c r="Y26" s="667"/>
      <c r="Z26" s="608" t="s">
        <v>313</v>
      </c>
      <c r="AA26" s="607"/>
      <c r="AB26" s="607"/>
      <c r="AC26" s="607"/>
      <c r="AD26" s="607"/>
      <c r="AE26" s="607"/>
      <c r="AF26" s="607"/>
      <c r="AG26" s="607"/>
      <c r="AH26" s="607"/>
      <c r="AI26" s="607"/>
      <c r="AJ26" s="607"/>
      <c r="AK26" s="607"/>
      <c r="AL26" s="49">
        <v>78</v>
      </c>
      <c r="AM26" s="633">
        <f>ROUND(+Motor!K28,-3)</f>
        <v>0</v>
      </c>
      <c r="AN26" s="634"/>
      <c r="AO26" s="634"/>
      <c r="AP26" s="634"/>
      <c r="AQ26" s="634"/>
      <c r="AR26" s="634"/>
      <c r="AS26" s="635"/>
    </row>
    <row r="27" spans="1:45" ht="20.45" customHeight="1" x14ac:dyDescent="0.45">
      <c r="A27" s="666"/>
      <c r="B27" s="667"/>
      <c r="C27" s="685" t="s">
        <v>308</v>
      </c>
      <c r="D27" s="636"/>
      <c r="E27" s="636"/>
      <c r="F27" s="636"/>
      <c r="G27" s="636"/>
      <c r="H27" s="636"/>
      <c r="I27" s="636"/>
      <c r="J27" s="636"/>
      <c r="K27" s="636"/>
      <c r="L27" s="636"/>
      <c r="M27" s="636"/>
      <c r="N27" s="614"/>
      <c r="O27" s="38">
        <v>39</v>
      </c>
      <c r="P27" s="679">
        <f>ROUND(+Motor!F22,-3)</f>
        <v>0</v>
      </c>
      <c r="Q27" s="637"/>
      <c r="R27" s="637"/>
      <c r="S27" s="637"/>
      <c r="T27" s="637"/>
      <c r="U27" s="637"/>
      <c r="V27" s="637"/>
      <c r="W27" s="638"/>
      <c r="X27" s="666"/>
      <c r="Y27" s="667"/>
      <c r="Z27" s="636" t="s">
        <v>314</v>
      </c>
      <c r="AA27" s="636"/>
      <c r="AB27" s="636"/>
      <c r="AC27" s="636"/>
      <c r="AD27" s="636"/>
      <c r="AE27" s="636"/>
      <c r="AF27" s="636"/>
      <c r="AG27" s="636"/>
      <c r="AH27" s="636"/>
      <c r="AI27" s="636"/>
      <c r="AJ27" s="636"/>
      <c r="AK27" s="636"/>
      <c r="AL27" s="53">
        <v>79</v>
      </c>
      <c r="AM27" s="637">
        <v>0</v>
      </c>
      <c r="AN27" s="637"/>
      <c r="AO27" s="637"/>
      <c r="AP27" s="637"/>
      <c r="AQ27" s="637"/>
      <c r="AR27" s="637"/>
      <c r="AS27" s="638"/>
    </row>
    <row r="28" spans="1:45" ht="20.45" customHeight="1" thickBot="1" x14ac:dyDescent="0.5">
      <c r="A28" s="666"/>
      <c r="B28" s="667"/>
      <c r="C28" s="689" t="s">
        <v>331</v>
      </c>
      <c r="D28" s="690"/>
      <c r="E28" s="690"/>
      <c r="F28" s="690"/>
      <c r="G28" s="690"/>
      <c r="H28" s="690"/>
      <c r="I28" s="690"/>
      <c r="J28" s="690"/>
      <c r="K28" s="690"/>
      <c r="L28" s="690"/>
      <c r="M28" s="690"/>
      <c r="N28" s="608"/>
      <c r="O28" s="49">
        <v>40</v>
      </c>
      <c r="P28" s="633">
        <f>ROUND(+Motor!F24,-3)</f>
        <v>0</v>
      </c>
      <c r="Q28" s="634"/>
      <c r="R28" s="634"/>
      <c r="S28" s="634"/>
      <c r="T28" s="634"/>
      <c r="U28" s="634"/>
      <c r="V28" s="634"/>
      <c r="W28" s="635"/>
      <c r="X28" s="668"/>
      <c r="Y28" s="669"/>
      <c r="Z28" s="628" t="s">
        <v>316</v>
      </c>
      <c r="AA28" s="628"/>
      <c r="AB28" s="628"/>
      <c r="AC28" s="628"/>
      <c r="AD28" s="628"/>
      <c r="AE28" s="628"/>
      <c r="AF28" s="628"/>
      <c r="AG28" s="628"/>
      <c r="AH28" s="628"/>
      <c r="AI28" s="628"/>
      <c r="AJ28" s="628"/>
      <c r="AK28" s="629"/>
      <c r="AL28" s="57">
        <v>80</v>
      </c>
      <c r="AM28" s="630">
        <v>0</v>
      </c>
      <c r="AN28" s="631"/>
      <c r="AO28" s="631"/>
      <c r="AP28" s="631"/>
      <c r="AQ28" s="631"/>
      <c r="AR28" s="631"/>
      <c r="AS28" s="632"/>
    </row>
    <row r="29" spans="1:45" ht="20.45" customHeight="1" x14ac:dyDescent="0.45">
      <c r="A29" s="666"/>
      <c r="B29" s="667"/>
      <c r="C29" s="71" t="s">
        <v>333</v>
      </c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72"/>
      <c r="O29" s="52">
        <v>41</v>
      </c>
      <c r="P29" s="680">
        <f>+P26-P27-P28</f>
        <v>0</v>
      </c>
      <c r="Q29" s="681"/>
      <c r="R29" s="681"/>
      <c r="S29" s="681"/>
      <c r="T29" s="681"/>
      <c r="U29" s="681"/>
      <c r="V29" s="681"/>
      <c r="W29" s="682"/>
      <c r="X29" s="666" t="s">
        <v>154</v>
      </c>
      <c r="Y29" s="667"/>
      <c r="Z29" s="608" t="s">
        <v>322</v>
      </c>
      <c r="AA29" s="609"/>
      <c r="AB29" s="609"/>
      <c r="AC29" s="609"/>
      <c r="AD29" s="609"/>
      <c r="AE29" s="609"/>
      <c r="AF29" s="609"/>
      <c r="AG29" s="609"/>
      <c r="AH29" s="609"/>
      <c r="AI29" s="609"/>
      <c r="AJ29" s="609"/>
      <c r="AK29" s="609"/>
      <c r="AL29" s="49">
        <v>81</v>
      </c>
      <c r="AM29" s="610">
        <f>ROUND(+Motor!K35,-3)</f>
        <v>0</v>
      </c>
      <c r="AN29" s="611"/>
      <c r="AO29" s="611"/>
      <c r="AP29" s="611"/>
      <c r="AQ29" s="611"/>
      <c r="AR29" s="611"/>
      <c r="AS29" s="612"/>
    </row>
    <row r="30" spans="1:45" ht="20.45" customHeight="1" x14ac:dyDescent="0.45">
      <c r="A30" s="666"/>
      <c r="B30" s="667"/>
      <c r="C30" s="689" t="s">
        <v>335</v>
      </c>
      <c r="D30" s="690"/>
      <c r="E30" s="690"/>
      <c r="F30" s="690"/>
      <c r="G30" s="690"/>
      <c r="H30" s="690"/>
      <c r="I30" s="690"/>
      <c r="J30" s="690"/>
      <c r="K30" s="690"/>
      <c r="L30" s="690"/>
      <c r="M30" s="690"/>
      <c r="N30" s="608"/>
      <c r="O30" s="49">
        <v>42</v>
      </c>
      <c r="P30" s="633">
        <v>0</v>
      </c>
      <c r="Q30" s="634"/>
      <c r="R30" s="634"/>
      <c r="S30" s="634"/>
      <c r="T30" s="634"/>
      <c r="U30" s="634"/>
      <c r="V30" s="634"/>
      <c r="W30" s="635"/>
      <c r="X30" s="666"/>
      <c r="Y30" s="667"/>
      <c r="Z30" s="614" t="s">
        <v>323</v>
      </c>
      <c r="AA30" s="615"/>
      <c r="AB30" s="615"/>
      <c r="AC30" s="615"/>
      <c r="AD30" s="615"/>
      <c r="AE30" s="615"/>
      <c r="AF30" s="615"/>
      <c r="AG30" s="615"/>
      <c r="AH30" s="615"/>
      <c r="AI30" s="615"/>
      <c r="AJ30" s="615"/>
      <c r="AK30" s="615"/>
      <c r="AL30" s="38">
        <v>82</v>
      </c>
      <c r="AM30" s="616">
        <f>ROUND(+Motor!K36,-3)</f>
        <v>0</v>
      </c>
      <c r="AN30" s="617"/>
      <c r="AO30" s="617"/>
      <c r="AP30" s="617"/>
      <c r="AQ30" s="617"/>
      <c r="AR30" s="617"/>
      <c r="AS30" s="618"/>
    </row>
    <row r="31" spans="1:45" ht="20.45" customHeight="1" x14ac:dyDescent="0.45">
      <c r="A31" s="666"/>
      <c r="B31" s="667"/>
      <c r="C31" s="685" t="s">
        <v>337</v>
      </c>
      <c r="D31" s="636"/>
      <c r="E31" s="636"/>
      <c r="F31" s="636"/>
      <c r="G31" s="636"/>
      <c r="H31" s="636"/>
      <c r="I31" s="636"/>
      <c r="J31" s="636"/>
      <c r="K31" s="636"/>
      <c r="L31" s="636"/>
      <c r="M31" s="636"/>
      <c r="N31" s="691"/>
      <c r="O31" s="58">
        <v>43</v>
      </c>
      <c r="P31" s="679">
        <f>ROUND(+Motor!F25,-3)</f>
        <v>0</v>
      </c>
      <c r="Q31" s="637"/>
      <c r="R31" s="637"/>
      <c r="S31" s="637"/>
      <c r="T31" s="637"/>
      <c r="U31" s="637"/>
      <c r="V31" s="637"/>
      <c r="W31" s="638"/>
      <c r="X31" s="666"/>
      <c r="Y31" s="667"/>
      <c r="Z31" s="608" t="s">
        <v>325</v>
      </c>
      <c r="AA31" s="607"/>
      <c r="AB31" s="607"/>
      <c r="AC31" s="607"/>
      <c r="AD31" s="607"/>
      <c r="AE31" s="607"/>
      <c r="AF31" s="607"/>
      <c r="AG31" s="607"/>
      <c r="AH31" s="607"/>
      <c r="AI31" s="607"/>
      <c r="AJ31" s="607"/>
      <c r="AK31" s="607"/>
      <c r="AL31" s="49">
        <v>83</v>
      </c>
      <c r="AM31" s="610">
        <f>+ROUND(IFERROR(+Motor!K37+Motor!K38+Motor!K39+Motor!K40+Motor!K41,),-3)</f>
        <v>0</v>
      </c>
      <c r="AN31" s="611"/>
      <c r="AO31" s="611"/>
      <c r="AP31" s="611"/>
      <c r="AQ31" s="611"/>
      <c r="AR31" s="611"/>
      <c r="AS31" s="612"/>
    </row>
    <row r="32" spans="1:45" ht="20.45" customHeight="1" thickBot="1" x14ac:dyDescent="0.5">
      <c r="A32" s="666"/>
      <c r="B32" s="667"/>
      <c r="C32" s="692" t="s">
        <v>338</v>
      </c>
      <c r="D32" s="620"/>
      <c r="E32" s="620"/>
      <c r="F32" s="620"/>
      <c r="G32" s="620"/>
      <c r="H32" s="620"/>
      <c r="I32" s="620"/>
      <c r="J32" s="620"/>
      <c r="K32" s="620"/>
      <c r="L32" s="620"/>
      <c r="M32" s="620"/>
      <c r="N32" s="624"/>
      <c r="O32" s="50">
        <v>44</v>
      </c>
      <c r="P32" s="625">
        <f>ROUND(+Motor!F26,-3)</f>
        <v>0</v>
      </c>
      <c r="Q32" s="626"/>
      <c r="R32" s="626"/>
      <c r="S32" s="626"/>
      <c r="T32" s="626"/>
      <c r="U32" s="626"/>
      <c r="V32" s="626"/>
      <c r="W32" s="627"/>
      <c r="X32" s="668"/>
      <c r="Y32" s="669"/>
      <c r="Z32" s="601" t="s">
        <v>326</v>
      </c>
      <c r="AA32" s="602"/>
      <c r="AB32" s="602"/>
      <c r="AC32" s="602"/>
      <c r="AD32" s="602"/>
      <c r="AE32" s="602"/>
      <c r="AF32" s="602"/>
      <c r="AG32" s="602"/>
      <c r="AH32" s="602"/>
      <c r="AI32" s="602"/>
      <c r="AJ32" s="602"/>
      <c r="AK32" s="602"/>
      <c r="AL32" s="52">
        <v>84</v>
      </c>
      <c r="AM32" s="603">
        <f>+AM29-AM30-AM31</f>
        <v>0</v>
      </c>
      <c r="AN32" s="604"/>
      <c r="AO32" s="604"/>
      <c r="AP32" s="604"/>
      <c r="AQ32" s="604"/>
      <c r="AR32" s="604"/>
      <c r="AS32" s="605"/>
    </row>
    <row r="33" spans="1:47" ht="20.45" customHeight="1" x14ac:dyDescent="0.45">
      <c r="A33" s="666"/>
      <c r="B33" s="667"/>
      <c r="C33" s="693" t="s">
        <v>339</v>
      </c>
      <c r="D33" s="694"/>
      <c r="E33" s="694"/>
      <c r="F33" s="694"/>
      <c r="G33" s="694"/>
      <c r="H33" s="694"/>
      <c r="I33" s="694"/>
      <c r="J33" s="694"/>
      <c r="K33" s="694"/>
      <c r="L33" s="694"/>
      <c r="M33" s="694"/>
      <c r="N33" s="601"/>
      <c r="O33" s="52">
        <v>45</v>
      </c>
      <c r="P33" s="680">
        <f>IF((+P26+P30-P27-P28-P32)&gt;0,+P26+P30-P27-P28-P32,0)</f>
        <v>0</v>
      </c>
      <c r="Q33" s="681"/>
      <c r="R33" s="681"/>
      <c r="S33" s="681"/>
      <c r="T33" s="681"/>
      <c r="U33" s="681"/>
      <c r="V33" s="681"/>
      <c r="W33" s="682"/>
      <c r="X33" s="664" t="s">
        <v>329</v>
      </c>
      <c r="Y33" s="665"/>
      <c r="Z33" s="799" t="s">
        <v>330</v>
      </c>
      <c r="AA33" s="847" t="s">
        <v>395</v>
      </c>
      <c r="AB33" s="848"/>
      <c r="AC33" s="848"/>
      <c r="AD33" s="848"/>
      <c r="AE33" s="848"/>
      <c r="AF33" s="848"/>
      <c r="AG33" s="848"/>
      <c r="AH33" s="848"/>
      <c r="AI33" s="848"/>
      <c r="AJ33" s="848"/>
      <c r="AK33" s="764"/>
      <c r="AL33" s="56">
        <v>85</v>
      </c>
      <c r="AM33" s="766">
        <f ca="1">+ROUND(+IF(Formulario!P54&gt;Motor!B44,'Tabla Tarifas'!I2+'Tabla Tarifas'!I14,0),-3)</f>
        <v>0</v>
      </c>
      <c r="AN33" s="767"/>
      <c r="AO33" s="767"/>
      <c r="AP33" s="767"/>
      <c r="AQ33" s="767"/>
      <c r="AR33" s="767"/>
      <c r="AS33" s="768"/>
    </row>
    <row r="34" spans="1:47" ht="20.45" customHeight="1" x14ac:dyDescent="0.45">
      <c r="A34" s="666"/>
      <c r="B34" s="667"/>
      <c r="C34" s="692" t="s">
        <v>340</v>
      </c>
      <c r="D34" s="620"/>
      <c r="E34" s="620"/>
      <c r="F34" s="620"/>
      <c r="G34" s="620"/>
      <c r="H34" s="620"/>
      <c r="I34" s="620"/>
      <c r="J34" s="620"/>
      <c r="K34" s="620"/>
      <c r="L34" s="620"/>
      <c r="M34" s="620"/>
      <c r="N34" s="624"/>
      <c r="O34" s="50">
        <v>46</v>
      </c>
      <c r="P34" s="625">
        <f>+IF(P33=0,P27+P28+P32-P26-P30,0)</f>
        <v>0</v>
      </c>
      <c r="Q34" s="626"/>
      <c r="R34" s="626"/>
      <c r="S34" s="626"/>
      <c r="T34" s="626"/>
      <c r="U34" s="626"/>
      <c r="V34" s="626"/>
      <c r="W34" s="627"/>
      <c r="X34" s="666"/>
      <c r="Y34" s="667"/>
      <c r="Z34" s="800"/>
      <c r="AA34" s="685" t="s">
        <v>396</v>
      </c>
      <c r="AB34" s="636"/>
      <c r="AC34" s="636"/>
      <c r="AD34" s="636"/>
      <c r="AE34" s="636"/>
      <c r="AF34" s="636"/>
      <c r="AG34" s="636"/>
      <c r="AH34" s="636"/>
      <c r="AI34" s="636"/>
      <c r="AJ34" s="636"/>
      <c r="AK34" s="614"/>
      <c r="AL34" s="38">
        <v>86</v>
      </c>
      <c r="AM34" s="679">
        <f ca="1">+ROUND(+IF(AM16&gt;P54,'Tabla Tarifas'!I14+Motor!B45,0),-3)</f>
        <v>0</v>
      </c>
      <c r="AN34" s="637"/>
      <c r="AO34" s="637"/>
      <c r="AP34" s="637"/>
      <c r="AQ34" s="637"/>
      <c r="AR34" s="637"/>
      <c r="AS34" s="638"/>
    </row>
    <row r="35" spans="1:47" ht="20.45" customHeight="1" x14ac:dyDescent="0.45">
      <c r="A35" s="666"/>
      <c r="B35" s="667"/>
      <c r="C35" s="685" t="s">
        <v>343</v>
      </c>
      <c r="D35" s="636"/>
      <c r="E35" s="636"/>
      <c r="F35" s="636"/>
      <c r="G35" s="636"/>
      <c r="H35" s="636"/>
      <c r="I35" s="636"/>
      <c r="J35" s="636"/>
      <c r="K35" s="636"/>
      <c r="L35" s="636"/>
      <c r="M35" s="636"/>
      <c r="N35" s="614"/>
      <c r="O35" s="38">
        <v>47</v>
      </c>
      <c r="P35" s="679">
        <v>0</v>
      </c>
      <c r="Q35" s="637"/>
      <c r="R35" s="637"/>
      <c r="S35" s="637"/>
      <c r="T35" s="637"/>
      <c r="U35" s="637"/>
      <c r="V35" s="637"/>
      <c r="W35" s="638"/>
      <c r="X35" s="666"/>
      <c r="Y35" s="667"/>
      <c r="Z35" s="800"/>
      <c r="AA35" s="689" t="s">
        <v>332</v>
      </c>
      <c r="AB35" s="690"/>
      <c r="AC35" s="690"/>
      <c r="AD35" s="690"/>
      <c r="AE35" s="690"/>
      <c r="AF35" s="690"/>
      <c r="AG35" s="690"/>
      <c r="AH35" s="690"/>
      <c r="AI35" s="690"/>
      <c r="AJ35" s="690"/>
      <c r="AK35" s="608"/>
      <c r="AL35" s="49">
        <v>87</v>
      </c>
      <c r="AM35" s="633">
        <v>0</v>
      </c>
      <c r="AN35" s="634"/>
      <c r="AO35" s="634"/>
      <c r="AP35" s="634"/>
      <c r="AQ35" s="634"/>
      <c r="AR35" s="634"/>
      <c r="AS35" s="635"/>
    </row>
    <row r="36" spans="1:47" ht="20.45" customHeight="1" thickBot="1" x14ac:dyDescent="0.5">
      <c r="A36" s="666"/>
      <c r="B36" s="667"/>
      <c r="C36" s="781" t="s">
        <v>345</v>
      </c>
      <c r="D36" s="782"/>
      <c r="E36" s="782"/>
      <c r="F36" s="782"/>
      <c r="G36" s="782"/>
      <c r="H36" s="782"/>
      <c r="I36" s="782"/>
      <c r="J36" s="782"/>
      <c r="K36" s="782"/>
      <c r="L36" s="782"/>
      <c r="M36" s="782"/>
      <c r="N36" s="783"/>
      <c r="O36" s="54">
        <v>48</v>
      </c>
      <c r="P36" s="784">
        <f>+P33-P35</f>
        <v>0</v>
      </c>
      <c r="Q36" s="785"/>
      <c r="R36" s="785"/>
      <c r="S36" s="785"/>
      <c r="T36" s="785"/>
      <c r="U36" s="785"/>
      <c r="V36" s="785"/>
      <c r="W36" s="786"/>
      <c r="X36" s="666"/>
      <c r="Y36" s="667"/>
      <c r="Z36" s="800"/>
      <c r="AA36" s="685" t="s">
        <v>334</v>
      </c>
      <c r="AB36" s="636"/>
      <c r="AC36" s="636"/>
      <c r="AD36" s="636"/>
      <c r="AE36" s="636"/>
      <c r="AF36" s="636"/>
      <c r="AG36" s="636"/>
      <c r="AH36" s="636"/>
      <c r="AI36" s="636"/>
      <c r="AJ36" s="636"/>
      <c r="AK36" s="614"/>
      <c r="AL36" s="38">
        <v>88</v>
      </c>
      <c r="AM36" s="616">
        <v>0</v>
      </c>
      <c r="AN36" s="617"/>
      <c r="AO36" s="617"/>
      <c r="AP36" s="617"/>
      <c r="AQ36" s="617"/>
      <c r="AR36" s="617"/>
      <c r="AS36" s="618"/>
    </row>
    <row r="37" spans="1:47" ht="20.45" customHeight="1" x14ac:dyDescent="0.45">
      <c r="A37" s="664" t="s">
        <v>346</v>
      </c>
      <c r="B37" s="665"/>
      <c r="C37" s="790" t="s">
        <v>347</v>
      </c>
      <c r="D37" s="791"/>
      <c r="E37" s="791"/>
      <c r="F37" s="791"/>
      <c r="G37" s="791"/>
      <c r="H37" s="791"/>
      <c r="I37" s="791"/>
      <c r="J37" s="791"/>
      <c r="K37" s="791"/>
      <c r="L37" s="791"/>
      <c r="M37" s="791"/>
      <c r="N37" s="792"/>
      <c r="O37" s="51">
        <v>49</v>
      </c>
      <c r="P37" s="793">
        <f>ROUND(+Motor!F32,-3)</f>
        <v>0</v>
      </c>
      <c r="Q37" s="794"/>
      <c r="R37" s="794"/>
      <c r="S37" s="794"/>
      <c r="T37" s="794"/>
      <c r="U37" s="794"/>
      <c r="V37" s="794"/>
      <c r="W37" s="795"/>
      <c r="X37" s="666"/>
      <c r="Y37" s="667"/>
      <c r="Z37" s="800"/>
      <c r="AA37" s="689" t="s">
        <v>336</v>
      </c>
      <c r="AB37" s="690"/>
      <c r="AC37" s="690"/>
      <c r="AD37" s="690"/>
      <c r="AE37" s="690"/>
      <c r="AF37" s="690"/>
      <c r="AG37" s="690"/>
      <c r="AH37" s="690"/>
      <c r="AI37" s="690"/>
      <c r="AJ37" s="690"/>
      <c r="AK37" s="690"/>
      <c r="AL37" s="106">
        <v>89</v>
      </c>
      <c r="AM37" s="634">
        <v>0</v>
      </c>
      <c r="AN37" s="634"/>
      <c r="AO37" s="634"/>
      <c r="AP37" s="634"/>
      <c r="AQ37" s="634"/>
      <c r="AR37" s="634"/>
      <c r="AS37" s="635"/>
    </row>
    <row r="38" spans="1:47" ht="20.45" customHeight="1" thickBot="1" x14ac:dyDescent="0.5">
      <c r="A38" s="666"/>
      <c r="B38" s="667"/>
      <c r="C38" s="689" t="s">
        <v>348</v>
      </c>
      <c r="D38" s="690"/>
      <c r="E38" s="690"/>
      <c r="F38" s="690"/>
      <c r="G38" s="690"/>
      <c r="H38" s="690"/>
      <c r="I38" s="690"/>
      <c r="J38" s="690"/>
      <c r="K38" s="690"/>
      <c r="L38" s="690"/>
      <c r="M38" s="690"/>
      <c r="N38" s="608"/>
      <c r="O38" s="49">
        <v>50</v>
      </c>
      <c r="P38" s="633">
        <v>0</v>
      </c>
      <c r="Q38" s="634"/>
      <c r="R38" s="634"/>
      <c r="S38" s="634"/>
      <c r="T38" s="634"/>
      <c r="U38" s="634"/>
      <c r="V38" s="634"/>
      <c r="W38" s="635"/>
      <c r="X38" s="666"/>
      <c r="Y38" s="667"/>
      <c r="Z38" s="801"/>
      <c r="AA38" s="796" t="s">
        <v>397</v>
      </c>
      <c r="AB38" s="797"/>
      <c r="AC38" s="797"/>
      <c r="AD38" s="797"/>
      <c r="AE38" s="797"/>
      <c r="AF38" s="797"/>
      <c r="AG38" s="797"/>
      <c r="AH38" s="797"/>
      <c r="AI38" s="797"/>
      <c r="AJ38" s="797"/>
      <c r="AK38" s="798"/>
      <c r="AL38" s="105">
        <v>90</v>
      </c>
      <c r="AM38" s="787">
        <f ca="1">SUM(AM33:AS37)</f>
        <v>0</v>
      </c>
      <c r="AN38" s="788"/>
      <c r="AO38" s="788"/>
      <c r="AP38" s="788"/>
      <c r="AQ38" s="788"/>
      <c r="AR38" s="788"/>
      <c r="AS38" s="789"/>
      <c r="AU38" s="9" t="s">
        <v>296</v>
      </c>
    </row>
    <row r="39" spans="1:47" ht="20.45" customHeight="1" x14ac:dyDescent="0.45">
      <c r="A39" s="666"/>
      <c r="B39" s="667"/>
      <c r="C39" s="685" t="s">
        <v>308</v>
      </c>
      <c r="D39" s="636"/>
      <c r="E39" s="636"/>
      <c r="F39" s="636"/>
      <c r="G39" s="636"/>
      <c r="H39" s="636"/>
      <c r="I39" s="636"/>
      <c r="J39" s="636"/>
      <c r="K39" s="636"/>
      <c r="L39" s="636"/>
      <c r="M39" s="636"/>
      <c r="N39" s="614"/>
      <c r="O39" s="38">
        <v>51</v>
      </c>
      <c r="P39" s="679">
        <f>ROUND(+Motor!F33,-3)</f>
        <v>0</v>
      </c>
      <c r="Q39" s="637"/>
      <c r="R39" s="637"/>
      <c r="S39" s="637"/>
      <c r="T39" s="637"/>
      <c r="U39" s="637"/>
      <c r="V39" s="637"/>
      <c r="W39" s="638"/>
      <c r="X39" s="666"/>
      <c r="Y39" s="667"/>
      <c r="Z39" s="799" t="s">
        <v>341</v>
      </c>
      <c r="AA39" s="847" t="s">
        <v>342</v>
      </c>
      <c r="AB39" s="848"/>
      <c r="AC39" s="848"/>
      <c r="AD39" s="848"/>
      <c r="AE39" s="848"/>
      <c r="AF39" s="848"/>
      <c r="AG39" s="848"/>
      <c r="AH39" s="848"/>
      <c r="AI39" s="848"/>
      <c r="AJ39" s="848"/>
      <c r="AK39" s="764"/>
      <c r="AL39" s="56">
        <v>91</v>
      </c>
      <c r="AM39" s="676">
        <v>0</v>
      </c>
      <c r="AN39" s="677"/>
      <c r="AO39" s="677"/>
      <c r="AP39" s="677"/>
      <c r="AQ39" s="677"/>
      <c r="AR39" s="677"/>
      <c r="AS39" s="678"/>
    </row>
    <row r="40" spans="1:47" ht="20.45" customHeight="1" x14ac:dyDescent="0.45">
      <c r="A40" s="666"/>
      <c r="B40" s="667"/>
      <c r="C40" s="689" t="s">
        <v>331</v>
      </c>
      <c r="D40" s="690"/>
      <c r="E40" s="690"/>
      <c r="F40" s="690"/>
      <c r="G40" s="690"/>
      <c r="H40" s="690"/>
      <c r="I40" s="690"/>
      <c r="J40" s="690"/>
      <c r="K40" s="690"/>
      <c r="L40" s="690"/>
      <c r="M40" s="690"/>
      <c r="N40" s="608"/>
      <c r="O40" s="49">
        <v>52</v>
      </c>
      <c r="P40" s="633">
        <f>ROUND(+Motor!F35,-3)</f>
        <v>0</v>
      </c>
      <c r="Q40" s="634"/>
      <c r="R40" s="634"/>
      <c r="S40" s="634"/>
      <c r="T40" s="634"/>
      <c r="U40" s="634"/>
      <c r="V40" s="634"/>
      <c r="W40" s="635"/>
      <c r="X40" s="666"/>
      <c r="Y40" s="667"/>
      <c r="Z40" s="800"/>
      <c r="AA40" s="685" t="s">
        <v>344</v>
      </c>
      <c r="AB40" s="636"/>
      <c r="AC40" s="636"/>
      <c r="AD40" s="636"/>
      <c r="AE40" s="636"/>
      <c r="AF40" s="636"/>
      <c r="AG40" s="636"/>
      <c r="AH40" s="636"/>
      <c r="AI40" s="636"/>
      <c r="AJ40" s="636"/>
      <c r="AK40" s="614"/>
      <c r="AL40" s="38">
        <v>92</v>
      </c>
      <c r="AM40" s="679">
        <f>ROUND(+Motor!K61,-3)</f>
        <v>0</v>
      </c>
      <c r="AN40" s="637"/>
      <c r="AO40" s="637"/>
      <c r="AP40" s="637"/>
      <c r="AQ40" s="637"/>
      <c r="AR40" s="637"/>
      <c r="AS40" s="638"/>
    </row>
    <row r="41" spans="1:47" ht="20.45" customHeight="1" x14ac:dyDescent="0.45">
      <c r="A41" s="666"/>
      <c r="B41" s="667"/>
      <c r="C41" s="71" t="s">
        <v>351</v>
      </c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72"/>
      <c r="O41" s="52">
        <v>53</v>
      </c>
      <c r="P41" s="680">
        <f>+P37-P38-P39-P40</f>
        <v>0</v>
      </c>
      <c r="Q41" s="681"/>
      <c r="R41" s="681"/>
      <c r="S41" s="681"/>
      <c r="T41" s="681"/>
      <c r="U41" s="681"/>
      <c r="V41" s="681"/>
      <c r="W41" s="682"/>
      <c r="X41" s="666"/>
      <c r="Y41" s="667"/>
      <c r="Z41" s="800"/>
      <c r="AA41" s="689" t="s">
        <v>148</v>
      </c>
      <c r="AB41" s="690"/>
      <c r="AC41" s="690"/>
      <c r="AD41" s="690"/>
      <c r="AE41" s="690"/>
      <c r="AF41" s="690"/>
      <c r="AG41" s="690"/>
      <c r="AH41" s="690"/>
      <c r="AI41" s="690"/>
      <c r="AJ41" s="690"/>
      <c r="AK41" s="608"/>
      <c r="AL41" s="49">
        <v>93</v>
      </c>
      <c r="AM41" s="610">
        <v>0</v>
      </c>
      <c r="AN41" s="611"/>
      <c r="AO41" s="611"/>
      <c r="AP41" s="611"/>
      <c r="AQ41" s="611"/>
      <c r="AR41" s="611"/>
      <c r="AS41" s="612"/>
    </row>
    <row r="42" spans="1:47" ht="20.45" customHeight="1" thickBot="1" x14ac:dyDescent="0.5">
      <c r="A42" s="666"/>
      <c r="B42" s="667"/>
      <c r="C42" s="689" t="s">
        <v>352</v>
      </c>
      <c r="D42" s="690"/>
      <c r="E42" s="690"/>
      <c r="F42" s="690"/>
      <c r="G42" s="690"/>
      <c r="H42" s="690"/>
      <c r="I42" s="690"/>
      <c r="J42" s="690"/>
      <c r="K42" s="690"/>
      <c r="L42" s="690"/>
      <c r="M42" s="690"/>
      <c r="N42" s="608"/>
      <c r="O42" s="49">
        <v>54</v>
      </c>
      <c r="P42" s="633">
        <v>0</v>
      </c>
      <c r="Q42" s="634"/>
      <c r="R42" s="634"/>
      <c r="S42" s="634"/>
      <c r="T42" s="634"/>
      <c r="U42" s="634"/>
      <c r="V42" s="634"/>
      <c r="W42" s="635"/>
      <c r="X42" s="666"/>
      <c r="Y42" s="667"/>
      <c r="Z42" s="801"/>
      <c r="AA42" s="796" t="s">
        <v>398</v>
      </c>
      <c r="AB42" s="797"/>
      <c r="AC42" s="797"/>
      <c r="AD42" s="797"/>
      <c r="AE42" s="797"/>
      <c r="AF42" s="797"/>
      <c r="AG42" s="797"/>
      <c r="AH42" s="797"/>
      <c r="AI42" s="797"/>
      <c r="AJ42" s="797"/>
      <c r="AK42" s="798"/>
      <c r="AL42" s="55">
        <v>94</v>
      </c>
      <c r="AM42" s="805">
        <f>SUM(AM39:AS41)</f>
        <v>0</v>
      </c>
      <c r="AN42" s="806"/>
      <c r="AO42" s="806"/>
      <c r="AP42" s="806"/>
      <c r="AQ42" s="806"/>
      <c r="AR42" s="806"/>
      <c r="AS42" s="807"/>
    </row>
    <row r="43" spans="1:47" ht="20.45" customHeight="1" x14ac:dyDescent="0.45">
      <c r="A43" s="666"/>
      <c r="B43" s="667"/>
      <c r="C43" s="685" t="s">
        <v>354</v>
      </c>
      <c r="D43" s="636"/>
      <c r="E43" s="636"/>
      <c r="F43" s="636"/>
      <c r="G43" s="636"/>
      <c r="H43" s="636"/>
      <c r="I43" s="636"/>
      <c r="J43" s="636"/>
      <c r="K43" s="636"/>
      <c r="L43" s="636"/>
      <c r="M43" s="636"/>
      <c r="N43" s="691"/>
      <c r="O43" s="58">
        <v>55</v>
      </c>
      <c r="P43" s="679">
        <f>ROUND(+Motor!F36,-3)</f>
        <v>0</v>
      </c>
      <c r="Q43" s="637"/>
      <c r="R43" s="637"/>
      <c r="S43" s="637"/>
      <c r="T43" s="637"/>
      <c r="U43" s="637"/>
      <c r="V43" s="637"/>
      <c r="W43" s="638"/>
      <c r="X43" s="666"/>
      <c r="Y43" s="667"/>
      <c r="Z43" s="692" t="s">
        <v>399</v>
      </c>
      <c r="AA43" s="620"/>
      <c r="AB43" s="620"/>
      <c r="AC43" s="620"/>
      <c r="AD43" s="620"/>
      <c r="AE43" s="620"/>
      <c r="AF43" s="620"/>
      <c r="AG43" s="620"/>
      <c r="AH43" s="620"/>
      <c r="AI43" s="620"/>
      <c r="AJ43" s="620"/>
      <c r="AK43" s="808"/>
      <c r="AL43" s="33">
        <v>95</v>
      </c>
      <c r="AM43" s="809">
        <f ca="1">+AM38-AM42</f>
        <v>0</v>
      </c>
      <c r="AN43" s="626"/>
      <c r="AO43" s="626"/>
      <c r="AP43" s="626"/>
      <c r="AQ43" s="626"/>
      <c r="AR43" s="626"/>
      <c r="AS43" s="627"/>
    </row>
    <row r="44" spans="1:47" ht="20.45" customHeight="1" x14ac:dyDescent="0.45">
      <c r="A44" s="666"/>
      <c r="B44" s="667"/>
      <c r="C44" s="692" t="s">
        <v>356</v>
      </c>
      <c r="D44" s="620"/>
      <c r="E44" s="620"/>
      <c r="F44" s="620"/>
      <c r="G44" s="620"/>
      <c r="H44" s="620"/>
      <c r="I44" s="620"/>
      <c r="J44" s="620"/>
      <c r="K44" s="620"/>
      <c r="L44" s="620"/>
      <c r="M44" s="620"/>
      <c r="N44" s="624"/>
      <c r="O44" s="50">
        <v>56</v>
      </c>
      <c r="P44" s="625">
        <f>ROUND(+Motor!F37,-3)</f>
        <v>0</v>
      </c>
      <c r="Q44" s="626"/>
      <c r="R44" s="626"/>
      <c r="S44" s="626"/>
      <c r="T44" s="626"/>
      <c r="U44" s="626"/>
      <c r="V44" s="626"/>
      <c r="W44" s="627"/>
      <c r="X44" s="666"/>
      <c r="Y44" s="667"/>
      <c r="Z44" s="810" t="s">
        <v>349</v>
      </c>
      <c r="AA44" s="617"/>
      <c r="AB44" s="617"/>
      <c r="AC44" s="617"/>
      <c r="AD44" s="617"/>
      <c r="AE44" s="617"/>
      <c r="AF44" s="617"/>
      <c r="AG44" s="617"/>
      <c r="AH44" s="617"/>
      <c r="AI44" s="617"/>
      <c r="AJ44" s="617"/>
      <c r="AK44" s="617"/>
      <c r="AL44" s="38">
        <v>96</v>
      </c>
      <c r="AM44" s="616">
        <f>ROUND(+Motor!K53+Motor!K54,-3)</f>
        <v>0</v>
      </c>
      <c r="AN44" s="617"/>
      <c r="AO44" s="617"/>
      <c r="AP44" s="617"/>
      <c r="AQ44" s="617"/>
      <c r="AR44" s="617"/>
      <c r="AS44" s="618"/>
    </row>
    <row r="45" spans="1:47" ht="20.45" customHeight="1" x14ac:dyDescent="0.45">
      <c r="A45" s="666"/>
      <c r="B45" s="667"/>
      <c r="C45" s="693" t="s">
        <v>358</v>
      </c>
      <c r="D45" s="694"/>
      <c r="E45" s="694"/>
      <c r="F45" s="694"/>
      <c r="G45" s="694"/>
      <c r="H45" s="694"/>
      <c r="I45" s="694"/>
      <c r="J45" s="694"/>
      <c r="K45" s="694"/>
      <c r="L45" s="694"/>
      <c r="M45" s="694"/>
      <c r="N45" s="601"/>
      <c r="O45" s="52">
        <v>57</v>
      </c>
      <c r="P45" s="680">
        <f>IF((+P37+P42-P38-P39-P40-P44)&gt;0,+P37+P42-P38-P39-P40-P44,0)</f>
        <v>0</v>
      </c>
      <c r="Q45" s="681"/>
      <c r="R45" s="681"/>
      <c r="S45" s="681"/>
      <c r="T45" s="681"/>
      <c r="U45" s="681"/>
      <c r="V45" s="681"/>
      <c r="W45" s="682"/>
      <c r="X45" s="666"/>
      <c r="Y45" s="667"/>
      <c r="Z45" s="689" t="s">
        <v>350</v>
      </c>
      <c r="AA45" s="690"/>
      <c r="AB45" s="690"/>
      <c r="AC45" s="690"/>
      <c r="AD45" s="690"/>
      <c r="AE45" s="690"/>
      <c r="AF45" s="690"/>
      <c r="AG45" s="690"/>
      <c r="AH45" s="690"/>
      <c r="AI45" s="690"/>
      <c r="AJ45" s="690"/>
      <c r="AK45" s="608"/>
      <c r="AL45" s="49">
        <v>97</v>
      </c>
      <c r="AM45" s="633">
        <v>0</v>
      </c>
      <c r="AN45" s="634"/>
      <c r="AO45" s="634"/>
      <c r="AP45" s="634"/>
      <c r="AQ45" s="634"/>
      <c r="AR45" s="634"/>
      <c r="AS45" s="635"/>
    </row>
    <row r="46" spans="1:47" ht="20.45" customHeight="1" x14ac:dyDescent="0.45">
      <c r="A46" s="666"/>
      <c r="B46" s="667"/>
      <c r="C46" s="692" t="s">
        <v>360</v>
      </c>
      <c r="D46" s="620"/>
      <c r="E46" s="620"/>
      <c r="F46" s="620"/>
      <c r="G46" s="620"/>
      <c r="H46" s="620"/>
      <c r="I46" s="620"/>
      <c r="J46" s="620"/>
      <c r="K46" s="620"/>
      <c r="L46" s="620"/>
      <c r="M46" s="620"/>
      <c r="N46" s="624"/>
      <c r="O46" s="50">
        <v>58</v>
      </c>
      <c r="P46" s="625">
        <f>+IF((+P38+P39+P40+P44-P37-P42)&gt;0,(+P38+P39+P40+P44-P37-P42),0)</f>
        <v>0</v>
      </c>
      <c r="Q46" s="626"/>
      <c r="R46" s="626"/>
      <c r="S46" s="626"/>
      <c r="T46" s="626"/>
      <c r="U46" s="626"/>
      <c r="V46" s="626"/>
      <c r="W46" s="627"/>
      <c r="X46" s="666"/>
      <c r="Y46" s="667"/>
      <c r="Z46" s="693" t="s">
        <v>404</v>
      </c>
      <c r="AA46" s="694"/>
      <c r="AB46" s="694"/>
      <c r="AC46" s="694"/>
      <c r="AD46" s="694"/>
      <c r="AE46" s="694"/>
      <c r="AF46" s="694"/>
      <c r="AG46" s="694"/>
      <c r="AH46" s="694"/>
      <c r="AI46" s="694"/>
      <c r="AJ46" s="694"/>
      <c r="AK46" s="601"/>
      <c r="AL46" s="52">
        <v>98</v>
      </c>
      <c r="AM46" s="680">
        <f ca="1">+AM43+AM44-AM45</f>
        <v>0</v>
      </c>
      <c r="AN46" s="681"/>
      <c r="AO46" s="681"/>
      <c r="AP46" s="681"/>
      <c r="AQ46" s="681"/>
      <c r="AR46" s="681"/>
      <c r="AS46" s="682"/>
    </row>
    <row r="47" spans="1:47" ht="20.45" customHeight="1" x14ac:dyDescent="0.45">
      <c r="A47" s="666"/>
      <c r="B47" s="667"/>
      <c r="C47" s="685" t="s">
        <v>361</v>
      </c>
      <c r="D47" s="636"/>
      <c r="E47" s="636"/>
      <c r="F47" s="636"/>
      <c r="G47" s="636"/>
      <c r="H47" s="636"/>
      <c r="I47" s="636"/>
      <c r="J47" s="636"/>
      <c r="K47" s="636"/>
      <c r="L47" s="636"/>
      <c r="M47" s="636"/>
      <c r="N47" s="614"/>
      <c r="O47" s="38">
        <v>59</v>
      </c>
      <c r="P47" s="679">
        <f>ROUND(+Motor!F40,-3)</f>
        <v>0</v>
      </c>
      <c r="Q47" s="637"/>
      <c r="R47" s="637"/>
      <c r="S47" s="637"/>
      <c r="T47" s="637"/>
      <c r="U47" s="637"/>
      <c r="V47" s="637"/>
      <c r="W47" s="638"/>
      <c r="X47" s="666"/>
      <c r="Y47" s="667"/>
      <c r="Z47" s="606" t="s">
        <v>353</v>
      </c>
      <c r="AA47" s="607"/>
      <c r="AB47" s="607"/>
      <c r="AC47" s="607"/>
      <c r="AD47" s="607"/>
      <c r="AE47" s="607"/>
      <c r="AF47" s="607"/>
      <c r="AG47" s="607"/>
      <c r="AH47" s="607"/>
      <c r="AI47" s="607"/>
      <c r="AJ47" s="607"/>
      <c r="AK47" s="607"/>
      <c r="AL47" s="49">
        <v>99</v>
      </c>
      <c r="AM47" s="610">
        <f>ROUND(+Motor!B12,-3)</f>
        <v>0</v>
      </c>
      <c r="AN47" s="611"/>
      <c r="AO47" s="611"/>
      <c r="AP47" s="611"/>
      <c r="AQ47" s="611"/>
      <c r="AR47" s="611"/>
      <c r="AS47" s="612"/>
    </row>
    <row r="48" spans="1:47" ht="20.45" customHeight="1" thickBot="1" x14ac:dyDescent="0.5">
      <c r="A48" s="668"/>
      <c r="B48" s="669"/>
      <c r="C48" s="781" t="s">
        <v>365</v>
      </c>
      <c r="D48" s="782"/>
      <c r="E48" s="782"/>
      <c r="F48" s="782"/>
      <c r="G48" s="782"/>
      <c r="H48" s="782"/>
      <c r="I48" s="782"/>
      <c r="J48" s="782"/>
      <c r="K48" s="782"/>
      <c r="L48" s="782"/>
      <c r="M48" s="782"/>
      <c r="N48" s="783"/>
      <c r="O48" s="54">
        <v>60</v>
      </c>
      <c r="P48" s="784">
        <f>+P45-P47+P53</f>
        <v>0</v>
      </c>
      <c r="Q48" s="785"/>
      <c r="R48" s="785"/>
      <c r="S48" s="785"/>
      <c r="T48" s="785"/>
      <c r="U48" s="785"/>
      <c r="V48" s="785"/>
      <c r="W48" s="786"/>
      <c r="X48" s="666"/>
      <c r="Y48" s="667"/>
      <c r="Z48" s="685" t="s">
        <v>355</v>
      </c>
      <c r="AA48" s="636"/>
      <c r="AB48" s="636"/>
      <c r="AC48" s="636"/>
      <c r="AD48" s="636"/>
      <c r="AE48" s="636"/>
      <c r="AF48" s="636"/>
      <c r="AG48" s="636"/>
      <c r="AH48" s="636"/>
      <c r="AI48" s="636"/>
      <c r="AJ48" s="636"/>
      <c r="AK48" s="614"/>
      <c r="AL48" s="38">
        <v>100</v>
      </c>
      <c r="AM48" s="679">
        <f>ROUND(+Motor!B11,-3)</f>
        <v>0</v>
      </c>
      <c r="AN48" s="637"/>
      <c r="AO48" s="637"/>
      <c r="AP48" s="637"/>
      <c r="AQ48" s="637"/>
      <c r="AR48" s="637"/>
      <c r="AS48" s="638"/>
    </row>
    <row r="49" spans="1:45" ht="20.45" customHeight="1" x14ac:dyDescent="0.45">
      <c r="A49" s="94"/>
      <c r="B49" s="95"/>
      <c r="C49" s="670" t="s">
        <v>386</v>
      </c>
      <c r="D49" s="670"/>
      <c r="E49" s="670"/>
      <c r="F49" s="670"/>
      <c r="G49" s="670"/>
      <c r="H49" s="670"/>
      <c r="I49" s="670"/>
      <c r="J49" s="670"/>
      <c r="K49" s="670"/>
      <c r="L49" s="670"/>
      <c r="M49" s="670"/>
      <c r="N49" s="670"/>
      <c r="O49" s="100">
        <v>61</v>
      </c>
      <c r="P49" s="672">
        <f>+IF((P28+P40)&lt;(P26+P37),P22+P29+P41+P42-P35-P47,+IF(AND(P34&gt;0,P46&gt;0),P22+P36+P48,+IF(P34&gt;0,P22+P36+P37+P42-P38-P39-P40-P47,+IF(P46&gt;0,P22+P26+P30+P48-P27-P28-P35,+IF(AND(P34=0,P46=0,P28&gt;P26,P40&gt;P37,P30&gt;0,P42&gt;0),P22+P26+P30+P37+P42-P27-P28-P35-P38-P39-P40-P47,+IF(AND(P36=0,P48=0),P22,0))))))</f>
        <v>0</v>
      </c>
      <c r="Q49" s="672"/>
      <c r="R49" s="672"/>
      <c r="S49" s="672"/>
      <c r="T49" s="672"/>
      <c r="U49" s="672"/>
      <c r="V49" s="672"/>
      <c r="W49" s="673"/>
      <c r="X49" s="666"/>
      <c r="Y49" s="667"/>
      <c r="Z49" s="689" t="s">
        <v>357</v>
      </c>
      <c r="AA49" s="690"/>
      <c r="AB49" s="690"/>
      <c r="AC49" s="690"/>
      <c r="AD49" s="690"/>
      <c r="AE49" s="690"/>
      <c r="AF49" s="690"/>
      <c r="AG49" s="690"/>
      <c r="AH49" s="690"/>
      <c r="AI49" s="690"/>
      <c r="AJ49" s="690"/>
      <c r="AK49" s="608"/>
      <c r="AL49" s="49">
        <v>101</v>
      </c>
      <c r="AM49" s="633">
        <f>ROUND(+Motor!K55+Motor!K56,-3)</f>
        <v>0</v>
      </c>
      <c r="AN49" s="634"/>
      <c r="AO49" s="634"/>
      <c r="AP49" s="634"/>
      <c r="AQ49" s="634"/>
      <c r="AR49" s="634"/>
      <c r="AS49" s="635"/>
    </row>
    <row r="50" spans="1:45" ht="20.45" customHeight="1" x14ac:dyDescent="0.45">
      <c r="A50" s="96"/>
      <c r="B50" s="97"/>
      <c r="C50" s="671" t="s">
        <v>387</v>
      </c>
      <c r="D50" s="671"/>
      <c r="E50" s="671"/>
      <c r="F50" s="671"/>
      <c r="G50" s="671"/>
      <c r="H50" s="671"/>
      <c r="I50" s="671"/>
      <c r="J50" s="671"/>
      <c r="K50" s="671"/>
      <c r="L50" s="671"/>
      <c r="M50" s="671"/>
      <c r="N50" s="671"/>
      <c r="O50" s="101">
        <v>62</v>
      </c>
      <c r="P50" s="674">
        <f ca="1">+P24+P32+P44</f>
        <v>0</v>
      </c>
      <c r="Q50" s="671"/>
      <c r="R50" s="671"/>
      <c r="S50" s="671"/>
      <c r="T50" s="671"/>
      <c r="U50" s="671"/>
      <c r="V50" s="671"/>
      <c r="W50" s="675"/>
      <c r="X50" s="666"/>
      <c r="Y50" s="667"/>
      <c r="Z50" s="685" t="s">
        <v>359</v>
      </c>
      <c r="AA50" s="636"/>
      <c r="AB50" s="636"/>
      <c r="AC50" s="636"/>
      <c r="AD50" s="636"/>
      <c r="AE50" s="636"/>
      <c r="AF50" s="636"/>
      <c r="AG50" s="636"/>
      <c r="AH50" s="636"/>
      <c r="AI50" s="636"/>
      <c r="AJ50" s="636"/>
      <c r="AK50" s="691"/>
      <c r="AL50" s="58">
        <v>102</v>
      </c>
      <c r="AM50" s="679">
        <f ca="1">ROUND(+Motor!F61,-3)</f>
        <v>0</v>
      </c>
      <c r="AN50" s="637"/>
      <c r="AO50" s="637"/>
      <c r="AP50" s="637"/>
      <c r="AQ50" s="637"/>
      <c r="AR50" s="637"/>
      <c r="AS50" s="638"/>
    </row>
    <row r="51" spans="1:45" ht="20.45" customHeight="1" x14ac:dyDescent="0.45">
      <c r="A51" s="96"/>
      <c r="B51" s="97"/>
      <c r="C51" s="817" t="s">
        <v>388</v>
      </c>
      <c r="D51" s="817"/>
      <c r="E51" s="817"/>
      <c r="F51" s="817"/>
      <c r="G51" s="817"/>
      <c r="H51" s="817"/>
      <c r="I51" s="817"/>
      <c r="J51" s="817"/>
      <c r="K51" s="817"/>
      <c r="L51" s="817"/>
      <c r="M51" s="817"/>
      <c r="N51" s="817"/>
      <c r="O51" s="102">
        <v>63</v>
      </c>
      <c r="P51" s="818">
        <f ca="1">+P49-P50</f>
        <v>0</v>
      </c>
      <c r="Q51" s="817"/>
      <c r="R51" s="817"/>
      <c r="S51" s="817"/>
      <c r="T51" s="817"/>
      <c r="U51" s="817"/>
      <c r="V51" s="817"/>
      <c r="W51" s="819"/>
      <c r="X51" s="666"/>
      <c r="Y51" s="667"/>
      <c r="Z51" s="692" t="s">
        <v>405</v>
      </c>
      <c r="AA51" s="620"/>
      <c r="AB51" s="620"/>
      <c r="AC51" s="620"/>
      <c r="AD51" s="620"/>
      <c r="AE51" s="620"/>
      <c r="AF51" s="620"/>
      <c r="AG51" s="620"/>
      <c r="AH51" s="620"/>
      <c r="AI51" s="620"/>
      <c r="AJ51" s="620"/>
      <c r="AK51" s="624"/>
      <c r="AL51" s="50">
        <v>103</v>
      </c>
      <c r="AM51" s="625">
        <f ca="1">+IF(AM46-AM47-AM48-AM49+AM50&gt;0,AM46-AM47-AM48-AM49+AM50,0)</f>
        <v>0</v>
      </c>
      <c r="AN51" s="626"/>
      <c r="AO51" s="626"/>
      <c r="AP51" s="626"/>
      <c r="AQ51" s="626"/>
      <c r="AR51" s="626"/>
      <c r="AS51" s="627"/>
    </row>
    <row r="52" spans="1:45" ht="28.25" customHeight="1" x14ac:dyDescent="0.45">
      <c r="A52" s="96"/>
      <c r="B52" s="97"/>
      <c r="C52" s="820" t="s">
        <v>389</v>
      </c>
      <c r="D52" s="820"/>
      <c r="E52" s="820"/>
      <c r="F52" s="820"/>
      <c r="G52" s="820"/>
      <c r="H52" s="820"/>
      <c r="I52" s="820"/>
      <c r="J52" s="820"/>
      <c r="K52" s="820"/>
      <c r="L52" s="820"/>
      <c r="M52" s="820"/>
      <c r="N52" s="820"/>
      <c r="O52" s="104" t="s">
        <v>391</v>
      </c>
      <c r="P52" s="821">
        <f>+P47+P35</f>
        <v>0</v>
      </c>
      <c r="Q52" s="822"/>
      <c r="R52" s="822"/>
      <c r="S52" s="822"/>
      <c r="T52" s="822"/>
      <c r="U52" s="822"/>
      <c r="V52" s="822"/>
      <c r="W52" s="823"/>
      <c r="X52" s="666"/>
      <c r="Y52" s="667"/>
      <c r="Z52" s="648" t="s">
        <v>362</v>
      </c>
      <c r="AA52" s="615"/>
      <c r="AB52" s="615"/>
      <c r="AC52" s="615"/>
      <c r="AD52" s="615"/>
      <c r="AE52" s="615"/>
      <c r="AF52" s="615"/>
      <c r="AG52" s="615"/>
      <c r="AH52" s="615"/>
      <c r="AI52" s="615"/>
      <c r="AJ52" s="615"/>
      <c r="AK52" s="615"/>
      <c r="AL52" s="38">
        <v>104</v>
      </c>
      <c r="AM52" s="679">
        <f ca="1">ROUND(+Motor!B84,-3)</f>
        <v>0</v>
      </c>
      <c r="AN52" s="637"/>
      <c r="AO52" s="637"/>
      <c r="AP52" s="637"/>
      <c r="AQ52" s="637"/>
      <c r="AR52" s="637"/>
      <c r="AS52" s="638"/>
    </row>
    <row r="53" spans="1:45" ht="20.45" customHeight="1" x14ac:dyDescent="0.45">
      <c r="A53" s="96"/>
      <c r="B53" s="97"/>
      <c r="C53" s="636" t="s">
        <v>363</v>
      </c>
      <c r="D53" s="636"/>
      <c r="E53" s="636"/>
      <c r="F53" s="636"/>
      <c r="G53" s="636"/>
      <c r="H53" s="636"/>
      <c r="I53" s="636"/>
      <c r="J53" s="636"/>
      <c r="K53" s="636"/>
      <c r="L53" s="636"/>
      <c r="M53" s="636"/>
      <c r="N53" s="636"/>
      <c r="O53" s="53">
        <v>66</v>
      </c>
      <c r="P53" s="637">
        <f>ROUND(+Motor!F41+Motor!F42+Motor!F43,-3)</f>
        <v>0</v>
      </c>
      <c r="Q53" s="637"/>
      <c r="R53" s="637"/>
      <c r="S53" s="637"/>
      <c r="T53" s="637"/>
      <c r="U53" s="637"/>
      <c r="V53" s="637"/>
      <c r="W53" s="638"/>
      <c r="X53" s="666"/>
      <c r="Y53" s="667"/>
      <c r="Z53" s="845" t="s">
        <v>364</v>
      </c>
      <c r="AA53" s="846"/>
      <c r="AB53" s="846"/>
      <c r="AC53" s="846"/>
      <c r="AD53" s="846"/>
      <c r="AE53" s="846"/>
      <c r="AF53" s="846"/>
      <c r="AG53" s="846"/>
      <c r="AH53" s="846"/>
      <c r="AI53" s="846"/>
      <c r="AJ53" s="846"/>
      <c r="AK53" s="846"/>
      <c r="AL53" s="50">
        <v>105</v>
      </c>
      <c r="AM53" s="625">
        <f ca="1">+AM51+AM52</f>
        <v>0</v>
      </c>
      <c r="AN53" s="626"/>
      <c r="AO53" s="626"/>
      <c r="AP53" s="626"/>
      <c r="AQ53" s="626"/>
      <c r="AR53" s="626"/>
      <c r="AS53" s="627"/>
    </row>
    <row r="54" spans="1:45" ht="20.45" customHeight="1" thickBot="1" x14ac:dyDescent="0.5">
      <c r="A54" s="98"/>
      <c r="B54" s="99"/>
      <c r="C54" s="811" t="s">
        <v>390</v>
      </c>
      <c r="D54" s="811"/>
      <c r="E54" s="811"/>
      <c r="F54" s="811"/>
      <c r="G54" s="811"/>
      <c r="H54" s="811"/>
      <c r="I54" s="811"/>
      <c r="J54" s="811"/>
      <c r="K54" s="811"/>
      <c r="L54" s="811"/>
      <c r="M54" s="811"/>
      <c r="N54" s="811"/>
      <c r="O54" s="103">
        <v>67</v>
      </c>
      <c r="P54" s="812">
        <f ca="1">+P51+P53-P52</f>
        <v>0</v>
      </c>
      <c r="Q54" s="811"/>
      <c r="R54" s="811"/>
      <c r="S54" s="811"/>
      <c r="T54" s="811"/>
      <c r="U54" s="811"/>
      <c r="V54" s="811"/>
      <c r="W54" s="813"/>
      <c r="X54" s="666"/>
      <c r="Y54" s="667"/>
      <c r="Z54" s="662" t="s">
        <v>366</v>
      </c>
      <c r="AA54" s="663"/>
      <c r="AB54" s="663"/>
      <c r="AC54" s="663"/>
      <c r="AD54" s="663"/>
      <c r="AE54" s="663"/>
      <c r="AF54" s="663"/>
      <c r="AG54" s="663"/>
      <c r="AH54" s="663"/>
      <c r="AI54" s="663"/>
      <c r="AJ54" s="663"/>
      <c r="AK54" s="663"/>
      <c r="AL54" s="55">
        <v>106</v>
      </c>
      <c r="AM54" s="814">
        <f ca="1">+IF(AM46-AM47-AM48-AM49+AM50&lt;0,(AM46-AM47-AM48-AM49+AM50)*-1,0)</f>
        <v>0</v>
      </c>
      <c r="AN54" s="815"/>
      <c r="AO54" s="815"/>
      <c r="AP54" s="815"/>
      <c r="AQ54" s="815"/>
      <c r="AR54" s="815"/>
      <c r="AS54" s="816"/>
    </row>
    <row r="55" spans="1:45" ht="15" customHeight="1" thickBot="1" x14ac:dyDescent="0.5">
      <c r="A55" s="82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  <c r="N55" s="83"/>
      <c r="O55" s="83"/>
      <c r="P55" s="83"/>
      <c r="Q55" s="83"/>
      <c r="R55" s="83"/>
      <c r="S55" s="83"/>
      <c r="T55" s="83"/>
      <c r="U55" s="83"/>
      <c r="V55" s="83"/>
      <c r="W55" s="83"/>
      <c r="X55" s="668"/>
      <c r="Y55" s="669"/>
      <c r="Z55" s="802"/>
      <c r="AA55" s="803"/>
      <c r="AB55" s="803"/>
      <c r="AC55" s="803"/>
      <c r="AD55" s="803"/>
      <c r="AE55" s="803"/>
      <c r="AF55" s="803"/>
      <c r="AG55" s="803"/>
      <c r="AH55" s="803"/>
      <c r="AI55" s="803"/>
      <c r="AJ55" s="803"/>
      <c r="AK55" s="803"/>
      <c r="AL55" s="803"/>
      <c r="AM55" s="803"/>
      <c r="AN55" s="803"/>
      <c r="AO55" s="803"/>
      <c r="AP55" s="803"/>
      <c r="AQ55" s="803"/>
      <c r="AR55" s="803"/>
      <c r="AS55" s="804"/>
    </row>
    <row r="56" spans="1:45" ht="15" customHeight="1" thickBot="1" x14ac:dyDescent="0.5">
      <c r="A56" s="59" t="s">
        <v>367</v>
      </c>
      <c r="B56" s="60"/>
      <c r="C56" s="60"/>
      <c r="D56" s="60"/>
      <c r="E56" s="60"/>
      <c r="F56" s="60"/>
      <c r="G56" s="60"/>
      <c r="H56" s="60"/>
      <c r="I56" s="61"/>
      <c r="J56" s="61"/>
      <c r="K56" s="60"/>
      <c r="L56" s="60"/>
      <c r="M56" s="60"/>
      <c r="N56" s="60"/>
      <c r="O56" s="60"/>
      <c r="P56" s="60"/>
      <c r="Q56" s="60"/>
      <c r="R56" s="76" t="s">
        <v>368</v>
      </c>
      <c r="S56" s="77"/>
      <c r="T56" s="77"/>
      <c r="U56" s="77"/>
      <c r="V56" s="77"/>
      <c r="W56" s="77"/>
      <c r="X56" s="111"/>
      <c r="Y56" s="112"/>
      <c r="Z56" s="77"/>
      <c r="AA56" s="77"/>
      <c r="AB56" s="77"/>
      <c r="AC56" s="77"/>
      <c r="AD56" s="77"/>
      <c r="AE56" s="78"/>
      <c r="AF56" s="824"/>
      <c r="AG56" s="824"/>
      <c r="AH56" s="824"/>
      <c r="AI56" s="824"/>
      <c r="AJ56" s="824"/>
      <c r="AK56" s="824"/>
      <c r="AL56" s="824"/>
      <c r="AM56" s="824"/>
      <c r="AN56" s="824"/>
      <c r="AO56" s="824"/>
      <c r="AP56" s="824"/>
      <c r="AQ56" s="824"/>
      <c r="AR56" s="824"/>
      <c r="AS56" s="825"/>
    </row>
    <row r="57" spans="1:45" ht="15" customHeight="1" x14ac:dyDescent="0.45">
      <c r="A57" s="59" t="s">
        <v>369</v>
      </c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  <c r="P57" s="60"/>
      <c r="Q57" s="60"/>
      <c r="R57" s="76"/>
      <c r="S57" s="77"/>
      <c r="T57" s="77"/>
      <c r="U57" s="77"/>
      <c r="V57" s="77"/>
      <c r="W57" s="77"/>
      <c r="X57" s="109"/>
      <c r="Y57" s="109"/>
      <c r="Z57" s="77"/>
      <c r="AA57" s="77"/>
      <c r="AB57" s="77"/>
      <c r="AC57" s="77"/>
      <c r="AD57" s="77"/>
      <c r="AE57" s="78"/>
      <c r="AF57" s="826" t="s">
        <v>370</v>
      </c>
      <c r="AG57" s="826"/>
      <c r="AH57" s="826"/>
      <c r="AI57" s="826"/>
      <c r="AJ57" s="826" t="s">
        <v>371</v>
      </c>
      <c r="AK57" s="62"/>
      <c r="AL57" s="827">
        <f ca="1">IF(+AM53-AM54&gt;0,AM53-AM54,0)</f>
        <v>0</v>
      </c>
      <c r="AM57" s="828"/>
      <c r="AN57" s="828"/>
      <c r="AO57" s="828"/>
      <c r="AP57" s="828"/>
      <c r="AQ57" s="829"/>
      <c r="AR57" s="31"/>
      <c r="AS57" s="63"/>
    </row>
    <row r="58" spans="1:45" ht="14.65" thickBot="1" x14ac:dyDescent="0.5">
      <c r="A58" s="59"/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60"/>
      <c r="Q58" s="60"/>
      <c r="R58" s="76"/>
      <c r="S58" s="77"/>
      <c r="T58" s="77"/>
      <c r="U58" s="77"/>
      <c r="V58" s="77"/>
      <c r="W58" s="77"/>
      <c r="X58" s="93"/>
      <c r="Y58" s="93"/>
      <c r="Z58" s="77"/>
      <c r="AA58" s="77"/>
      <c r="AB58" s="77"/>
      <c r="AC58" s="77"/>
      <c r="AD58" s="77"/>
      <c r="AE58" s="78"/>
      <c r="AF58" s="64"/>
      <c r="AG58" s="64"/>
      <c r="AH58" s="64"/>
      <c r="AI58" s="64"/>
      <c r="AJ58" s="826"/>
      <c r="AK58" s="62"/>
      <c r="AL58" s="830"/>
      <c r="AM58" s="831"/>
      <c r="AN58" s="831"/>
      <c r="AO58" s="831"/>
      <c r="AP58" s="831"/>
      <c r="AQ58" s="832"/>
      <c r="AR58" s="31"/>
      <c r="AS58" s="63"/>
    </row>
    <row r="59" spans="1:45" ht="14.65" thickBot="1" x14ac:dyDescent="0.5">
      <c r="A59" s="59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N59" s="60"/>
      <c r="O59" s="60"/>
      <c r="P59" s="60"/>
      <c r="Q59" s="60"/>
      <c r="R59" s="76"/>
      <c r="S59" s="77"/>
      <c r="T59" s="77"/>
      <c r="U59" s="77"/>
      <c r="V59" s="77"/>
      <c r="W59" s="77"/>
      <c r="X59" s="93"/>
      <c r="Y59" s="93"/>
      <c r="Z59" s="77"/>
      <c r="AA59" s="77"/>
      <c r="AB59" s="77"/>
      <c r="AC59" s="77"/>
      <c r="AD59" s="77"/>
      <c r="AE59" s="78"/>
      <c r="AF59" s="64"/>
      <c r="AG59" s="64"/>
      <c r="AH59" s="64"/>
      <c r="AI59" s="64"/>
      <c r="AJ59" s="64"/>
      <c r="AK59" s="62"/>
      <c r="AL59" s="65"/>
      <c r="AM59" s="31"/>
      <c r="AN59" s="31"/>
      <c r="AO59" s="31"/>
      <c r="AP59" s="31"/>
      <c r="AQ59" s="31"/>
      <c r="AR59" s="31"/>
      <c r="AS59" s="63"/>
    </row>
    <row r="60" spans="1:45" ht="15" customHeight="1" x14ac:dyDescent="0.45">
      <c r="A60" s="59"/>
      <c r="B60" s="60"/>
      <c r="C60" s="60"/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76"/>
      <c r="S60" s="77"/>
      <c r="T60" s="77"/>
      <c r="U60" s="77"/>
      <c r="V60" s="77"/>
      <c r="W60" s="77"/>
      <c r="X60" s="93"/>
      <c r="Y60" s="93"/>
      <c r="Z60" s="77"/>
      <c r="AA60" s="77"/>
      <c r="AB60" s="77"/>
      <c r="AC60" s="77"/>
      <c r="AD60" s="77"/>
      <c r="AE60" s="78"/>
      <c r="AF60" s="833" t="s">
        <v>372</v>
      </c>
      <c r="AG60" s="834"/>
      <c r="AH60" s="834"/>
      <c r="AI60" s="834"/>
      <c r="AJ60" s="834"/>
      <c r="AK60" s="834"/>
      <c r="AL60" s="834"/>
      <c r="AM60" s="834"/>
      <c r="AN60" s="834"/>
      <c r="AO60" s="834"/>
      <c r="AP60" s="834"/>
      <c r="AQ60" s="834"/>
      <c r="AR60" s="834"/>
      <c r="AS60" s="835"/>
    </row>
    <row r="61" spans="1:45" x14ac:dyDescent="0.45">
      <c r="A61" s="59"/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76"/>
      <c r="S61" s="77"/>
      <c r="T61" s="77"/>
      <c r="U61" s="77"/>
      <c r="V61" s="77"/>
      <c r="W61" s="77"/>
      <c r="X61" s="93"/>
      <c r="Y61" s="93"/>
      <c r="Z61" s="77"/>
      <c r="AA61" s="77"/>
      <c r="AB61" s="77"/>
      <c r="AC61" s="77"/>
      <c r="AD61" s="77"/>
      <c r="AE61" s="78"/>
      <c r="AF61" s="836"/>
      <c r="AG61" s="837"/>
      <c r="AH61" s="837"/>
      <c r="AI61" s="837"/>
      <c r="AJ61" s="837"/>
      <c r="AK61" s="837"/>
      <c r="AL61" s="837"/>
      <c r="AM61" s="837"/>
      <c r="AN61" s="837"/>
      <c r="AO61" s="837"/>
      <c r="AP61" s="837"/>
      <c r="AQ61" s="837"/>
      <c r="AR61" s="837"/>
      <c r="AS61" s="838"/>
    </row>
    <row r="62" spans="1:45" ht="14.65" thickBot="1" x14ac:dyDescent="0.5">
      <c r="A62" s="66"/>
      <c r="B62" s="67"/>
      <c r="C62" s="67"/>
      <c r="D62" s="67"/>
      <c r="E62" s="67"/>
      <c r="F62" s="67"/>
      <c r="G62" s="67"/>
      <c r="H62" s="67"/>
      <c r="I62" s="67"/>
      <c r="J62" s="67"/>
      <c r="K62" s="60"/>
      <c r="L62" s="60"/>
      <c r="M62" s="67"/>
      <c r="N62" s="67"/>
      <c r="O62" s="67"/>
      <c r="P62" s="67"/>
      <c r="Q62" s="67"/>
      <c r="R62" s="76"/>
      <c r="S62" s="77"/>
      <c r="T62" s="77"/>
      <c r="U62" s="77"/>
      <c r="V62" s="77"/>
      <c r="W62" s="77"/>
      <c r="X62" s="93"/>
      <c r="Y62" s="93"/>
      <c r="Z62" s="77"/>
      <c r="AA62" s="77"/>
      <c r="AB62" s="77"/>
      <c r="AC62" s="77"/>
      <c r="AD62" s="77"/>
      <c r="AE62" s="78"/>
      <c r="AF62" s="836"/>
      <c r="AG62" s="837"/>
      <c r="AH62" s="837"/>
      <c r="AI62" s="837"/>
      <c r="AJ62" s="837"/>
      <c r="AK62" s="837"/>
      <c r="AL62" s="837"/>
      <c r="AM62" s="837"/>
      <c r="AN62" s="837"/>
      <c r="AO62" s="837"/>
      <c r="AP62" s="837"/>
      <c r="AQ62" s="837"/>
      <c r="AR62" s="837"/>
      <c r="AS62" s="838"/>
    </row>
    <row r="63" spans="1:45" ht="14.65" thickBot="1" x14ac:dyDescent="0.5">
      <c r="A63" s="59" t="s">
        <v>373</v>
      </c>
      <c r="B63" s="60"/>
      <c r="C63" s="60"/>
      <c r="D63" s="60"/>
      <c r="E63" s="60"/>
      <c r="F63" s="60"/>
      <c r="G63" s="60"/>
      <c r="H63" s="60"/>
      <c r="I63" s="60"/>
      <c r="J63" s="60"/>
      <c r="K63" s="68"/>
      <c r="L63" s="69"/>
      <c r="M63" s="60"/>
      <c r="N63" s="60"/>
      <c r="O63" s="60"/>
      <c r="P63" s="60"/>
      <c r="Q63" s="60"/>
      <c r="R63" s="76"/>
      <c r="S63" s="77"/>
      <c r="T63" s="77"/>
      <c r="U63" s="77"/>
      <c r="V63" s="77"/>
      <c r="W63" s="77"/>
      <c r="X63" s="93"/>
      <c r="Y63" s="93"/>
      <c r="Z63" s="77"/>
      <c r="AA63" s="77"/>
      <c r="AB63" s="77"/>
      <c r="AC63" s="77"/>
      <c r="AD63" s="77"/>
      <c r="AE63" s="78"/>
      <c r="AF63" s="836"/>
      <c r="AG63" s="837"/>
      <c r="AH63" s="837"/>
      <c r="AI63" s="837"/>
      <c r="AJ63" s="837"/>
      <c r="AK63" s="837"/>
      <c r="AL63" s="837"/>
      <c r="AM63" s="837"/>
      <c r="AN63" s="837"/>
      <c r="AO63" s="837"/>
      <c r="AP63" s="837"/>
      <c r="AQ63" s="837"/>
      <c r="AR63" s="837"/>
      <c r="AS63" s="838"/>
    </row>
    <row r="64" spans="1:45" ht="14.65" thickBot="1" x14ac:dyDescent="0.5">
      <c r="A64" s="79" t="s">
        <v>374</v>
      </c>
      <c r="B64" s="80"/>
      <c r="C64" s="80"/>
      <c r="D64" s="80"/>
      <c r="E64" s="80"/>
      <c r="F64" s="80"/>
      <c r="G64" s="80"/>
      <c r="H64" s="80"/>
      <c r="I64" s="80"/>
      <c r="J64" s="60" t="s">
        <v>375</v>
      </c>
      <c r="K64" s="60"/>
      <c r="L64" s="60"/>
      <c r="M64" s="60"/>
      <c r="N64" s="60"/>
      <c r="O64" s="60"/>
      <c r="P64" s="69"/>
      <c r="Q64" s="60"/>
      <c r="R64" s="76"/>
      <c r="S64" s="77"/>
      <c r="T64" s="77"/>
      <c r="U64" s="77"/>
      <c r="V64" s="77"/>
      <c r="W64" s="77"/>
      <c r="X64" s="93"/>
      <c r="Y64" s="93"/>
      <c r="Z64" s="77"/>
      <c r="AA64" s="77"/>
      <c r="AB64" s="77"/>
      <c r="AC64" s="77"/>
      <c r="AD64" s="77"/>
      <c r="AE64" s="78"/>
      <c r="AF64" s="836"/>
      <c r="AG64" s="837"/>
      <c r="AH64" s="837"/>
      <c r="AI64" s="837"/>
      <c r="AJ64" s="837"/>
      <c r="AK64" s="837"/>
      <c r="AL64" s="837"/>
      <c r="AM64" s="837"/>
      <c r="AN64" s="837"/>
      <c r="AO64" s="837"/>
      <c r="AP64" s="837"/>
      <c r="AQ64" s="837"/>
      <c r="AR64" s="837"/>
      <c r="AS64" s="838"/>
    </row>
    <row r="65" spans="1:45" x14ac:dyDescent="0.45">
      <c r="A65" s="79"/>
      <c r="B65" s="80"/>
      <c r="C65" s="80"/>
      <c r="D65" s="80"/>
      <c r="E65" s="80"/>
      <c r="F65" s="80"/>
      <c r="G65" s="80"/>
      <c r="H65" s="80"/>
      <c r="I65" s="80"/>
      <c r="J65" s="60"/>
      <c r="K65" s="60"/>
      <c r="L65" s="60"/>
      <c r="M65" s="60"/>
      <c r="N65" s="60"/>
      <c r="O65" s="60"/>
      <c r="P65" s="60"/>
      <c r="Q65" s="60"/>
      <c r="R65" s="76"/>
      <c r="S65" s="77"/>
      <c r="T65" s="77"/>
      <c r="U65" s="77"/>
      <c r="V65" s="77"/>
      <c r="W65" s="77"/>
      <c r="X65" s="93"/>
      <c r="Y65" s="93"/>
      <c r="Z65" s="77"/>
      <c r="AA65" s="77"/>
      <c r="AB65" s="77"/>
      <c r="AC65" s="77"/>
      <c r="AD65" s="77"/>
      <c r="AE65" s="78"/>
      <c r="AF65" s="836"/>
      <c r="AG65" s="837"/>
      <c r="AH65" s="837"/>
      <c r="AI65" s="837"/>
      <c r="AJ65" s="837"/>
      <c r="AK65" s="837"/>
      <c r="AL65" s="837"/>
      <c r="AM65" s="837"/>
      <c r="AN65" s="837"/>
      <c r="AO65" s="837"/>
      <c r="AP65" s="837"/>
      <c r="AQ65" s="837"/>
      <c r="AR65" s="837"/>
      <c r="AS65" s="838"/>
    </row>
    <row r="66" spans="1:45" ht="14.65" thickBot="1" x14ac:dyDescent="0.5">
      <c r="A66" s="81" t="s">
        <v>376</v>
      </c>
      <c r="B66" s="85"/>
      <c r="C66" s="85"/>
      <c r="D66" s="85"/>
      <c r="E66" s="85"/>
      <c r="F66" s="85"/>
      <c r="G66" s="85"/>
      <c r="H66" s="85"/>
      <c r="I66" s="70"/>
      <c r="J66" s="85"/>
      <c r="K66" s="85"/>
      <c r="L66" s="85"/>
      <c r="M66" s="85"/>
      <c r="N66" s="85"/>
      <c r="O66" s="842"/>
      <c r="P66" s="842"/>
      <c r="Q66" s="842"/>
      <c r="R66" s="73"/>
      <c r="S66" s="74"/>
      <c r="T66" s="74"/>
      <c r="U66" s="74"/>
      <c r="V66" s="74"/>
      <c r="W66" s="74"/>
      <c r="X66" s="110"/>
      <c r="Y66" s="110"/>
      <c r="Z66" s="74"/>
      <c r="AA66" s="74"/>
      <c r="AB66" s="74"/>
      <c r="AC66" s="74"/>
      <c r="AD66" s="74"/>
      <c r="AE66" s="75"/>
      <c r="AF66" s="839"/>
      <c r="AG66" s="840"/>
      <c r="AH66" s="840"/>
      <c r="AI66" s="840"/>
      <c r="AJ66" s="840"/>
      <c r="AK66" s="840"/>
      <c r="AL66" s="840"/>
      <c r="AM66" s="840"/>
      <c r="AN66" s="840"/>
      <c r="AO66" s="840"/>
      <c r="AP66" s="840"/>
      <c r="AQ66" s="840"/>
      <c r="AR66" s="840"/>
      <c r="AS66" s="841"/>
    </row>
    <row r="67" spans="1:45" x14ac:dyDescent="0.45">
      <c r="X67" s="93"/>
      <c r="Y67" s="93"/>
    </row>
    <row r="68" spans="1:45" x14ac:dyDescent="0.45">
      <c r="X68" s="93"/>
      <c r="Y68" s="93"/>
    </row>
    <row r="69" spans="1:45" x14ac:dyDescent="0.45">
      <c r="X69" s="93"/>
      <c r="Y69" s="93"/>
    </row>
    <row r="70" spans="1:45" x14ac:dyDescent="0.45">
      <c r="X70" s="93"/>
      <c r="Y70" s="93"/>
    </row>
    <row r="71" spans="1:45" x14ac:dyDescent="0.45">
      <c r="X71" s="93"/>
      <c r="Y71" s="93"/>
    </row>
    <row r="81" spans="23:26" ht="25.5" x14ac:dyDescent="0.75">
      <c r="W81" s="843"/>
      <c r="X81" s="843"/>
      <c r="Y81" s="843"/>
      <c r="Z81" s="843"/>
    </row>
  </sheetData>
  <mergeCells count="201">
    <mergeCell ref="AF56:AS56"/>
    <mergeCell ref="AF57:AI57"/>
    <mergeCell ref="AJ57:AJ58"/>
    <mergeCell ref="AL57:AQ58"/>
    <mergeCell ref="AF60:AS66"/>
    <mergeCell ref="O66:Q66"/>
    <mergeCell ref="W81:Z81"/>
    <mergeCell ref="AT15:AU15"/>
    <mergeCell ref="Z53:AK53"/>
    <mergeCell ref="AM53:AS53"/>
    <mergeCell ref="P39:W39"/>
    <mergeCell ref="Z39:Z42"/>
    <mergeCell ref="AA39:AK39"/>
    <mergeCell ref="AM39:AS39"/>
    <mergeCell ref="AA35:AK35"/>
    <mergeCell ref="AM35:AS35"/>
    <mergeCell ref="AA33:AK33"/>
    <mergeCell ref="AA36:AK36"/>
    <mergeCell ref="X16:AK16"/>
    <mergeCell ref="AM16:AS16"/>
    <mergeCell ref="X22:Y28"/>
    <mergeCell ref="Z31:AK31"/>
    <mergeCell ref="X29:Y32"/>
    <mergeCell ref="AM31:AS31"/>
    <mergeCell ref="C54:N54"/>
    <mergeCell ref="P54:W54"/>
    <mergeCell ref="Z54:AK54"/>
    <mergeCell ref="AM54:AS54"/>
    <mergeCell ref="C51:N51"/>
    <mergeCell ref="P51:W51"/>
    <mergeCell ref="Z51:AK51"/>
    <mergeCell ref="AM51:AS51"/>
    <mergeCell ref="C52:N52"/>
    <mergeCell ref="P52:W52"/>
    <mergeCell ref="Z52:AK52"/>
    <mergeCell ref="AM52:AS52"/>
    <mergeCell ref="C53:N53"/>
    <mergeCell ref="P53:W53"/>
    <mergeCell ref="C48:N48"/>
    <mergeCell ref="P48:W48"/>
    <mergeCell ref="Z49:AK49"/>
    <mergeCell ref="AM49:AS49"/>
    <mergeCell ref="Z50:AK50"/>
    <mergeCell ref="AM50:AS50"/>
    <mergeCell ref="Z47:AK47"/>
    <mergeCell ref="AM47:AS47"/>
    <mergeCell ref="Z48:AK48"/>
    <mergeCell ref="AM48:AS48"/>
    <mergeCell ref="C47:N47"/>
    <mergeCell ref="P47:W47"/>
    <mergeCell ref="C46:N46"/>
    <mergeCell ref="P46:W46"/>
    <mergeCell ref="Z46:AK46"/>
    <mergeCell ref="AM46:AS46"/>
    <mergeCell ref="Z43:AK43"/>
    <mergeCell ref="AM43:AS43"/>
    <mergeCell ref="C44:N44"/>
    <mergeCell ref="P44:W44"/>
    <mergeCell ref="Z44:AK44"/>
    <mergeCell ref="AM44:AS44"/>
    <mergeCell ref="AA41:AK41"/>
    <mergeCell ref="AM41:AS41"/>
    <mergeCell ref="C42:N42"/>
    <mergeCell ref="P42:W42"/>
    <mergeCell ref="AA42:AK42"/>
    <mergeCell ref="AM42:AS42"/>
    <mergeCell ref="C43:N43"/>
    <mergeCell ref="P43:W43"/>
    <mergeCell ref="C45:N45"/>
    <mergeCell ref="P45:W45"/>
    <mergeCell ref="Z45:AK45"/>
    <mergeCell ref="AM45:AS45"/>
    <mergeCell ref="C38:N38"/>
    <mergeCell ref="P38:W38"/>
    <mergeCell ref="AM36:AS36"/>
    <mergeCell ref="C35:N35"/>
    <mergeCell ref="P35:W35"/>
    <mergeCell ref="AA37:AK37"/>
    <mergeCell ref="AM37:AS37"/>
    <mergeCell ref="C36:N36"/>
    <mergeCell ref="P36:W36"/>
    <mergeCell ref="AM38:AS38"/>
    <mergeCell ref="C37:N37"/>
    <mergeCell ref="P37:W37"/>
    <mergeCell ref="AA38:AK38"/>
    <mergeCell ref="Z33:Z38"/>
    <mergeCell ref="X33:Y55"/>
    <mergeCell ref="Z55:AS55"/>
    <mergeCell ref="AM33:AS33"/>
    <mergeCell ref="AA34:AK34"/>
    <mergeCell ref="AM34:AS34"/>
    <mergeCell ref="C40:N40"/>
    <mergeCell ref="P40:W40"/>
    <mergeCell ref="AA40:AK40"/>
    <mergeCell ref="AM40:AS40"/>
    <mergeCell ref="P41:W41"/>
    <mergeCell ref="A19:B25"/>
    <mergeCell ref="C19:N19"/>
    <mergeCell ref="P19:W19"/>
    <mergeCell ref="Z25:AK25"/>
    <mergeCell ref="AM25:AS25"/>
    <mergeCell ref="C20:N20"/>
    <mergeCell ref="A16:B18"/>
    <mergeCell ref="C16:N16"/>
    <mergeCell ref="P16:W16"/>
    <mergeCell ref="Z22:AK22"/>
    <mergeCell ref="AM22:AS22"/>
    <mergeCell ref="C17:N17"/>
    <mergeCell ref="P17:W17"/>
    <mergeCell ref="Z23:AK23"/>
    <mergeCell ref="AM23:AS23"/>
    <mergeCell ref="C23:N23"/>
    <mergeCell ref="P23:W23"/>
    <mergeCell ref="C24:N24"/>
    <mergeCell ref="P24:W24"/>
    <mergeCell ref="P20:W20"/>
    <mergeCell ref="C22:N22"/>
    <mergeCell ref="P22:W22"/>
    <mergeCell ref="C21:N21"/>
    <mergeCell ref="P21:W21"/>
    <mergeCell ref="C15:H15"/>
    <mergeCell ref="P15:W15"/>
    <mergeCell ref="X15:Y15"/>
    <mergeCell ref="Z15:AC15"/>
    <mergeCell ref="AD15:AJ15"/>
    <mergeCell ref="AL15:AR15"/>
    <mergeCell ref="A10:B15"/>
    <mergeCell ref="R11:V11"/>
    <mergeCell ref="W11:AB11"/>
    <mergeCell ref="AC11:AJ11"/>
    <mergeCell ref="AL11:AS11"/>
    <mergeCell ref="R12:AR12"/>
    <mergeCell ref="C13:AN13"/>
    <mergeCell ref="AO13:AS13"/>
    <mergeCell ref="AO14:AS14"/>
    <mergeCell ref="AT1:AU1"/>
    <mergeCell ref="AT2:AU4"/>
    <mergeCell ref="C5:D5"/>
    <mergeCell ref="AF5:AP5"/>
    <mergeCell ref="D6:U6"/>
    <mergeCell ref="C7:U7"/>
    <mergeCell ref="D9:Q9"/>
    <mergeCell ref="Y9:AS9"/>
    <mergeCell ref="A1:J4"/>
    <mergeCell ref="K1:AB4"/>
    <mergeCell ref="AC1:AJ4"/>
    <mergeCell ref="AK1:AR4"/>
    <mergeCell ref="AS1:AS4"/>
    <mergeCell ref="A37:B48"/>
    <mergeCell ref="C49:N49"/>
    <mergeCell ref="C50:N50"/>
    <mergeCell ref="P49:W49"/>
    <mergeCell ref="P50:W50"/>
    <mergeCell ref="P26:W26"/>
    <mergeCell ref="P27:W27"/>
    <mergeCell ref="P28:W28"/>
    <mergeCell ref="P29:W29"/>
    <mergeCell ref="P30:W30"/>
    <mergeCell ref="P31:W31"/>
    <mergeCell ref="P32:W32"/>
    <mergeCell ref="P33:W33"/>
    <mergeCell ref="P34:W34"/>
    <mergeCell ref="A26:B36"/>
    <mergeCell ref="C27:N27"/>
    <mergeCell ref="C26:N26"/>
    <mergeCell ref="C28:N28"/>
    <mergeCell ref="C30:N30"/>
    <mergeCell ref="C31:N31"/>
    <mergeCell ref="C32:N32"/>
    <mergeCell ref="C33:N33"/>
    <mergeCell ref="C34:N34"/>
    <mergeCell ref="C39:N39"/>
    <mergeCell ref="C18:N18"/>
    <mergeCell ref="P18:W18"/>
    <mergeCell ref="Z24:AK24"/>
    <mergeCell ref="AM24:AS24"/>
    <mergeCell ref="Z28:AK28"/>
    <mergeCell ref="AM28:AS28"/>
    <mergeCell ref="Z26:AK26"/>
    <mergeCell ref="AM26:AS26"/>
    <mergeCell ref="Z27:AK27"/>
    <mergeCell ref="AM27:AS27"/>
    <mergeCell ref="C25:N25"/>
    <mergeCell ref="P25:W25"/>
    <mergeCell ref="X17:Y21"/>
    <mergeCell ref="Z17:AK17"/>
    <mergeCell ref="AM17:AS17"/>
    <mergeCell ref="AM18:AS18"/>
    <mergeCell ref="AM19:AS19"/>
    <mergeCell ref="AM20:AS20"/>
    <mergeCell ref="AM21:AS21"/>
    <mergeCell ref="Z21:AK21"/>
    <mergeCell ref="Z32:AK32"/>
    <mergeCell ref="AM32:AS32"/>
    <mergeCell ref="Z18:AK18"/>
    <mergeCell ref="Z29:AK29"/>
    <mergeCell ref="AM29:AS29"/>
    <mergeCell ref="Z19:AK19"/>
    <mergeCell ref="Z30:AK30"/>
    <mergeCell ref="AM30:AS30"/>
    <mergeCell ref="Z20:AK20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229B9-FBB5-42D4-91C3-F3A68F017555}">
  <sheetPr codeName="Hoja13"/>
  <dimension ref="A1:C2"/>
  <sheetViews>
    <sheetView workbookViewId="0">
      <selection activeCell="A2" sqref="A2"/>
    </sheetView>
  </sheetViews>
  <sheetFormatPr baseColWidth="10" defaultColWidth="11.06640625" defaultRowHeight="14.25" x14ac:dyDescent="0.45"/>
  <cols>
    <col min="1" max="1" width="20" customWidth="1"/>
    <col min="2" max="2" width="15.265625" customWidth="1"/>
    <col min="3" max="3" width="11.46484375" customWidth="1"/>
  </cols>
  <sheetData>
    <row r="1" spans="1:3" ht="42.75" x14ac:dyDescent="0.45">
      <c r="A1" s="133" t="s">
        <v>377</v>
      </c>
      <c r="B1" s="133" t="s">
        <v>378</v>
      </c>
      <c r="C1" s="133" t="s">
        <v>379</v>
      </c>
    </row>
    <row r="2" spans="1:3" ht="18" x14ac:dyDescent="0.55000000000000004">
      <c r="A2" s="134">
        <f>+Motor!B2</f>
        <v>0</v>
      </c>
      <c r="B2" s="135">
        <f>IF(C2=0,0,IF(C2=1,1,11-C2))</f>
        <v>0</v>
      </c>
      <c r="C2" s="136">
        <f t="shared" ref="C2" si="0">MOD((VALUE(MID(TEXT(A2,"000000000000000"),15,1))*3+VALUE(MID(TEXT(A2,"000000000000000"),14,1))*7+VALUE(MID(TEXT(A2,"000000000000000"),13,1))*13+VALUE(MID(TEXT(A2,"000000000000000"),12,1))*17+VALUE(MID(TEXT(A2,"000000000000000"),11,1))*19+VALUE(MID(TEXT(A2,"000000000000000"),10,1))*23+VALUE(MID(TEXT(A2,"000000000000000"),9,1))*29+VALUE(MID(TEXT(A2,"000000000000000"),8,1))*37+VALUE(MID(TEXT(A2,"000000000000000"),7,1))*41+VALUE(MID(TEXT(A2,"000000000000000"),6,1))*43+VALUE(MID(TEXT(A2,"000000000000000"),5,1))*47+VALUE(MID(TEXT(A2,"000000000000000"),4,1))*53+VALUE(MID(TEXT(A2,"000000000000000"),3,1))*59+VALUE(MID(TEXT(A2,"000000000000000"),2,1))*67+VALUE(MID(TEXT(A2,"000000000000000"),1,1))*71),11)</f>
        <v>0</v>
      </c>
    </row>
  </sheetData>
  <sheetProtection algorithmName="SHA-512" hashValue="pJJmRb0/oqIQNxHIENZBGaY70K2IkewHAyaDIQLEOJIZ5KRjk8SsjvEN23Jv2YBLJsMZuDBVg9EX+g4YFl9P2A==" saltValue="WCgzg6MbDQQJIx28TQrpaA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96FC7-2D25-4225-B771-73136B30AA4F}">
  <sheetPr codeName="Hoja9"/>
  <dimension ref="A1:C11"/>
  <sheetViews>
    <sheetView topLeftCell="A4" workbookViewId="0">
      <selection activeCell="B11" sqref="B11"/>
    </sheetView>
  </sheetViews>
  <sheetFormatPr baseColWidth="10" defaultColWidth="11.06640625" defaultRowHeight="14.25" x14ac:dyDescent="0.45"/>
  <cols>
    <col min="1" max="1" width="13.265625" bestFit="1" customWidth="1"/>
    <col min="2" max="2" width="11.53125" style="138"/>
    <col min="3" max="3" width="13.796875" bestFit="1" customWidth="1"/>
  </cols>
  <sheetData>
    <row r="1" spans="1:3" x14ac:dyDescent="0.45">
      <c r="A1" s="1" t="s">
        <v>230</v>
      </c>
      <c r="B1" s="137" t="s">
        <v>231</v>
      </c>
    </row>
    <row r="2" spans="1:3" x14ac:dyDescent="0.45">
      <c r="A2" s="1">
        <v>2017</v>
      </c>
      <c r="B2" s="137">
        <v>31859</v>
      </c>
    </row>
    <row r="3" spans="1:3" x14ac:dyDescent="0.45">
      <c r="A3" s="1">
        <v>2018</v>
      </c>
      <c r="B3" s="137">
        <v>33156</v>
      </c>
    </row>
    <row r="4" spans="1:3" x14ac:dyDescent="0.45">
      <c r="A4" s="1">
        <v>2019</v>
      </c>
      <c r="B4" s="137">
        <v>34270</v>
      </c>
    </row>
    <row r="5" spans="1:3" x14ac:dyDescent="0.45">
      <c r="A5" s="1">
        <v>2020</v>
      </c>
      <c r="B5" s="137">
        <v>35607</v>
      </c>
    </row>
    <row r="6" spans="1:3" x14ac:dyDescent="0.45">
      <c r="A6" s="1">
        <v>2021</v>
      </c>
      <c r="B6" s="137">
        <v>36308</v>
      </c>
    </row>
    <row r="7" spans="1:3" x14ac:dyDescent="0.45">
      <c r="A7" s="1">
        <v>2022</v>
      </c>
      <c r="B7" s="137">
        <v>38004</v>
      </c>
    </row>
    <row r="8" spans="1:3" x14ac:dyDescent="0.45">
      <c r="A8" s="1">
        <v>2023</v>
      </c>
      <c r="B8" s="137">
        <v>42412</v>
      </c>
    </row>
    <row r="9" spans="1:3" x14ac:dyDescent="0.45">
      <c r="A9" s="1"/>
      <c r="B9" s="137"/>
    </row>
    <row r="10" spans="1:3" x14ac:dyDescent="0.45">
      <c r="A10" s="1" t="s">
        <v>232</v>
      </c>
      <c r="B10" s="137">
        <v>2022</v>
      </c>
    </row>
    <row r="11" spans="1:3" x14ac:dyDescent="0.45">
      <c r="A11" s="1" t="s">
        <v>233</v>
      </c>
      <c r="B11" s="137">
        <f>+VLOOKUP(B10,A2:B1621,2,0)</f>
        <v>38004</v>
      </c>
      <c r="C11" s="138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8BD08-A625-4CB7-802B-D7807D7B0153}">
  <sheetPr codeName="Hoja10"/>
  <dimension ref="A1:I30"/>
  <sheetViews>
    <sheetView zoomScale="60" zoomScaleNormal="60" workbookViewId="0">
      <selection activeCell="F27" sqref="F27"/>
    </sheetView>
  </sheetViews>
  <sheetFormatPr baseColWidth="10" defaultRowHeight="14.25" x14ac:dyDescent="0.45"/>
  <cols>
    <col min="1" max="1" width="15.46484375" style="2" customWidth="1"/>
    <col min="2" max="2" width="11.53125" style="2"/>
    <col min="3" max="3" width="19" style="2" customWidth="1"/>
    <col min="4" max="4" width="17.73046875" style="2" customWidth="1"/>
    <col min="5" max="5" width="11.53125" style="2"/>
    <col min="6" max="6" width="18.796875" style="2" customWidth="1"/>
    <col min="7" max="7" width="12" style="2" customWidth="1"/>
    <col min="8" max="8" width="26.33203125" bestFit="1" customWidth="1"/>
    <col min="9" max="9" width="18.265625" bestFit="1" customWidth="1"/>
  </cols>
  <sheetData>
    <row r="1" spans="1:9" x14ac:dyDescent="0.45">
      <c r="A1" s="3" t="s">
        <v>156</v>
      </c>
      <c r="B1" s="3" t="s">
        <v>157</v>
      </c>
      <c r="C1" s="3" t="s">
        <v>158</v>
      </c>
      <c r="D1" s="3" t="s">
        <v>159</v>
      </c>
      <c r="E1" s="3" t="s">
        <v>160</v>
      </c>
      <c r="F1" s="3" t="s">
        <v>162</v>
      </c>
      <c r="G1" s="3" t="s">
        <v>161</v>
      </c>
      <c r="H1" s="3" t="s">
        <v>250</v>
      </c>
      <c r="I1" s="6">
        <f ca="1">(+Motor!H16+Motor!H27+Motor!H45)/UVT!B11</f>
        <v>0</v>
      </c>
    </row>
    <row r="2" spans="1:9" x14ac:dyDescent="0.45">
      <c r="A2" s="1">
        <v>241</v>
      </c>
      <c r="B2" s="1">
        <v>1943</v>
      </c>
      <c r="C2" s="1">
        <v>0</v>
      </c>
      <c r="D2" s="1">
        <v>1090</v>
      </c>
      <c r="E2" s="4">
        <v>0</v>
      </c>
      <c r="F2" s="7">
        <f ca="1">+IF(I1&lt;=D2,I1," ")</f>
        <v>0</v>
      </c>
      <c r="G2" s="7">
        <f ca="1">IFERROR(+F2*E2," ")</f>
        <v>0</v>
      </c>
      <c r="H2" s="8" t="s">
        <v>251</v>
      </c>
      <c r="I2" s="6">
        <f ca="1">+SUM(G2:G8)*UVT!B11</f>
        <v>0</v>
      </c>
    </row>
    <row r="3" spans="1:9" x14ac:dyDescent="0.45">
      <c r="A3" s="1">
        <v>241</v>
      </c>
      <c r="B3" s="1">
        <v>1943</v>
      </c>
      <c r="C3" s="1">
        <v>1091</v>
      </c>
      <c r="D3" s="1">
        <v>1700</v>
      </c>
      <c r="E3" s="4">
        <v>0.19</v>
      </c>
      <c r="F3" s="7" t="str">
        <f ca="1">+IF(AND($I$1&gt;=C3,$I$1&lt;=D3),$I$1," ")</f>
        <v xml:space="preserve"> </v>
      </c>
      <c r="G3" s="7" t="str">
        <f ca="1">IFERROR(+((F3-1090)*19%)," ")</f>
        <v xml:space="preserve"> </v>
      </c>
    </row>
    <row r="4" spans="1:9" x14ac:dyDescent="0.45">
      <c r="A4" s="1">
        <v>241</v>
      </c>
      <c r="B4" s="1">
        <v>1943</v>
      </c>
      <c r="C4" s="1">
        <v>1701</v>
      </c>
      <c r="D4" s="1">
        <v>4100</v>
      </c>
      <c r="E4" s="4">
        <v>0.28000000000000003</v>
      </c>
      <c r="F4" s="7" t="str">
        <f t="shared" ref="F4:F7" ca="1" si="0">+IF(AND($I$1&gt;=C4,$I$1&lt;=D4),$I$1," ")</f>
        <v xml:space="preserve"> </v>
      </c>
      <c r="G4" s="7" t="str">
        <f ca="1">IFERROR(+(((F4-1700)*28%)+116)," ")</f>
        <v xml:space="preserve"> </v>
      </c>
    </row>
    <row r="5" spans="1:9" x14ac:dyDescent="0.45">
      <c r="A5" s="1">
        <v>241</v>
      </c>
      <c r="B5" s="1">
        <v>1943</v>
      </c>
      <c r="C5" s="1">
        <v>4101</v>
      </c>
      <c r="D5" s="1">
        <v>8670</v>
      </c>
      <c r="E5" s="4">
        <v>0.33</v>
      </c>
      <c r="F5" s="7" t="str">
        <f t="shared" ca="1" si="0"/>
        <v xml:space="preserve"> </v>
      </c>
      <c r="G5" s="7" t="str">
        <f ca="1">IFERROR(+(((F5-4100)*33%)+788)," ")</f>
        <v xml:space="preserve"> </v>
      </c>
    </row>
    <row r="6" spans="1:9" x14ac:dyDescent="0.45">
      <c r="A6" s="1">
        <v>241</v>
      </c>
      <c r="B6" s="1">
        <v>1943</v>
      </c>
      <c r="C6" s="1">
        <v>8671</v>
      </c>
      <c r="D6" s="1">
        <v>18970</v>
      </c>
      <c r="E6" s="4">
        <v>0.35</v>
      </c>
      <c r="F6" s="7" t="str">
        <f t="shared" ca="1" si="0"/>
        <v xml:space="preserve"> </v>
      </c>
      <c r="G6" s="7" t="str">
        <f ca="1">IFERROR(+(((F6-8670)*35%)+2296)," ")</f>
        <v xml:space="preserve"> </v>
      </c>
    </row>
    <row r="7" spans="1:9" x14ac:dyDescent="0.45">
      <c r="A7" s="1">
        <v>241</v>
      </c>
      <c r="B7" s="1">
        <v>1943</v>
      </c>
      <c r="C7" s="1">
        <v>18971</v>
      </c>
      <c r="D7" s="1">
        <v>31000</v>
      </c>
      <c r="E7" s="4">
        <v>0.37</v>
      </c>
      <c r="F7" s="7" t="str">
        <f t="shared" ca="1" si="0"/>
        <v xml:space="preserve"> </v>
      </c>
      <c r="G7" s="7" t="str">
        <f ca="1">IFERROR(+(((F7-18970)*37%)+5900)," ")</f>
        <v xml:space="preserve"> </v>
      </c>
    </row>
    <row r="8" spans="1:9" x14ac:dyDescent="0.45">
      <c r="A8" s="1">
        <v>241</v>
      </c>
      <c r="B8" s="1">
        <v>1943</v>
      </c>
      <c r="C8" s="1">
        <v>31001</v>
      </c>
      <c r="D8" s="1"/>
      <c r="E8" s="4">
        <v>0.39</v>
      </c>
      <c r="F8" s="7" t="str">
        <f ca="1">+IF(I1&gt;=C8,I1," ")</f>
        <v xml:space="preserve"> </v>
      </c>
      <c r="G8" s="7" t="str">
        <f ca="1">IFERROR(+(((F8-31000)*39%)+10352)," ")</f>
        <v xml:space="preserve"> </v>
      </c>
    </row>
    <row r="13" spans="1:9" x14ac:dyDescent="0.45">
      <c r="A13" s="3" t="s">
        <v>156</v>
      </c>
      <c r="B13" s="3" t="s">
        <v>157</v>
      </c>
      <c r="C13" s="3" t="s">
        <v>158</v>
      </c>
      <c r="D13" s="3" t="s">
        <v>159</v>
      </c>
      <c r="E13" s="3" t="s">
        <v>160</v>
      </c>
      <c r="F13" s="3" t="s">
        <v>162</v>
      </c>
      <c r="G13" s="3" t="s">
        <v>161</v>
      </c>
      <c r="H13" s="3" t="s">
        <v>400</v>
      </c>
      <c r="I13" s="6">
        <f>+Motor!K23/UVT!B11</f>
        <v>0</v>
      </c>
    </row>
    <row r="14" spans="1:9" x14ac:dyDescent="0.45">
      <c r="A14" s="1">
        <v>241</v>
      </c>
      <c r="B14" s="1">
        <v>1943</v>
      </c>
      <c r="C14" s="1">
        <v>0</v>
      </c>
      <c r="D14" s="1">
        <v>1090</v>
      </c>
      <c r="E14" s="4">
        <v>0</v>
      </c>
      <c r="F14" s="7">
        <f>+IF(I13&lt;=D14,I13," ")</f>
        <v>0</v>
      </c>
      <c r="G14" s="7">
        <f>IFERROR(+F14*E14," ")</f>
        <v>0</v>
      </c>
      <c r="H14" s="8" t="s">
        <v>251</v>
      </c>
      <c r="I14" s="6">
        <f>+SUM(G14:G20)*UVT!B11</f>
        <v>0</v>
      </c>
    </row>
    <row r="15" spans="1:9" x14ac:dyDescent="0.45">
      <c r="A15" s="1">
        <v>241</v>
      </c>
      <c r="B15" s="1">
        <v>1943</v>
      </c>
      <c r="C15" s="1">
        <v>1091</v>
      </c>
      <c r="D15" s="1">
        <v>1700</v>
      </c>
      <c r="E15" s="4">
        <v>0.19</v>
      </c>
      <c r="F15" s="7" t="str">
        <f>+IF(AND($I$13&gt;=C15,$I$13&lt;=D15),$I$13," ")</f>
        <v xml:space="preserve"> </v>
      </c>
      <c r="G15" s="7" t="str">
        <f>IFERROR(+((F15-1090)*19%)," ")</f>
        <v xml:space="preserve"> </v>
      </c>
    </row>
    <row r="16" spans="1:9" x14ac:dyDescent="0.45">
      <c r="A16" s="1">
        <v>241</v>
      </c>
      <c r="B16" s="1">
        <v>1943</v>
      </c>
      <c r="C16" s="1">
        <v>1701</v>
      </c>
      <c r="D16" s="1">
        <v>4100</v>
      </c>
      <c r="E16" s="4">
        <v>0.28000000000000003</v>
      </c>
      <c r="F16" s="7" t="str">
        <f>+IF(AND($I$13&gt;=C16,$I$13&lt;=D16),$I$13," ")</f>
        <v xml:space="preserve"> </v>
      </c>
      <c r="G16" s="7" t="str">
        <f>IFERROR(+(((F16-1700)*28%)+116)," ")</f>
        <v xml:space="preserve"> </v>
      </c>
    </row>
    <row r="17" spans="1:9" x14ac:dyDescent="0.45">
      <c r="A17" s="1">
        <v>241</v>
      </c>
      <c r="B17" s="1">
        <v>1943</v>
      </c>
      <c r="C17" s="1">
        <v>4101</v>
      </c>
      <c r="D17" s="1">
        <v>8670</v>
      </c>
      <c r="E17" s="4">
        <v>0.33</v>
      </c>
      <c r="F17" s="7" t="str">
        <f>+IF(AND($I$13&gt;=C17,$I$13&lt;=D17),$I$13," ")</f>
        <v xml:space="preserve"> </v>
      </c>
      <c r="G17" s="7" t="str">
        <f>IFERROR(+(((F17-4100)*33%)+788)," ")</f>
        <v xml:space="preserve"> </v>
      </c>
    </row>
    <row r="18" spans="1:9" x14ac:dyDescent="0.45">
      <c r="A18" s="1">
        <v>241</v>
      </c>
      <c r="B18" s="1">
        <v>1943</v>
      </c>
      <c r="C18" s="1">
        <v>8671</v>
      </c>
      <c r="D18" s="1">
        <v>18970</v>
      </c>
      <c r="E18" s="4">
        <v>0.35</v>
      </c>
      <c r="F18" s="7" t="str">
        <f>+IF(AND($I$13&gt;=C18,$I$13&lt;=D18),$I$13," ")</f>
        <v xml:space="preserve"> </v>
      </c>
      <c r="G18" s="7" t="str">
        <f>IFERROR(+(((F18-8670)*35%)+2296)," ")</f>
        <v xml:space="preserve"> </v>
      </c>
    </row>
    <row r="19" spans="1:9" x14ac:dyDescent="0.45">
      <c r="A19" s="1">
        <v>241</v>
      </c>
      <c r="B19" s="1">
        <v>1943</v>
      </c>
      <c r="C19" s="1">
        <v>18971</v>
      </c>
      <c r="D19" s="1">
        <v>31000</v>
      </c>
      <c r="E19" s="4">
        <v>0.37</v>
      </c>
      <c r="F19" s="7" t="str">
        <f>+IF(AND($I$13&gt;=C19,$I$13&lt;=D19),$I$13," ")</f>
        <v xml:space="preserve"> </v>
      </c>
      <c r="G19" s="7" t="str">
        <f>IFERROR(+(((F19-18970)*37%)+5900)," ")</f>
        <v xml:space="preserve"> </v>
      </c>
    </row>
    <row r="20" spans="1:9" x14ac:dyDescent="0.45">
      <c r="A20" s="1">
        <v>241</v>
      </c>
      <c r="B20" s="1">
        <v>1943</v>
      </c>
      <c r="C20" s="1">
        <v>31001</v>
      </c>
      <c r="D20" s="1"/>
      <c r="E20" s="4">
        <v>0.39</v>
      </c>
      <c r="F20" s="7" t="str">
        <f>+IF(I13&gt;=C20,I13," ")</f>
        <v xml:space="preserve"> </v>
      </c>
      <c r="G20" s="7" t="str">
        <f>IFERROR(+(((F20-31000)*39%)+10352)," ")</f>
        <v xml:space="preserve"> </v>
      </c>
    </row>
    <row r="23" spans="1:9" x14ac:dyDescent="0.45">
      <c r="A23" s="3" t="s">
        <v>156</v>
      </c>
      <c r="B23" s="3" t="s">
        <v>157</v>
      </c>
      <c r="C23" s="3" t="s">
        <v>158</v>
      </c>
      <c r="D23" s="3" t="s">
        <v>159</v>
      </c>
      <c r="E23" s="3" t="s">
        <v>160</v>
      </c>
      <c r="F23" s="3" t="s">
        <v>162</v>
      </c>
      <c r="G23" s="3" t="s">
        <v>161</v>
      </c>
      <c r="H23" s="3" t="s">
        <v>449</v>
      </c>
      <c r="I23" s="6">
        <f>+Motor!B44/UVT!B11</f>
        <v>0</v>
      </c>
    </row>
    <row r="24" spans="1:9" x14ac:dyDescent="0.45">
      <c r="A24" s="1">
        <v>241</v>
      </c>
      <c r="B24" s="1">
        <v>1943</v>
      </c>
      <c r="C24" s="1">
        <v>0</v>
      </c>
      <c r="D24" s="1">
        <v>1090</v>
      </c>
      <c r="E24" s="4">
        <v>0</v>
      </c>
      <c r="F24" s="7">
        <f>+IF(I23&lt;=D24,I23," ")</f>
        <v>0</v>
      </c>
      <c r="G24" s="7">
        <f>IFERROR(+F24*E24," ")</f>
        <v>0</v>
      </c>
      <c r="H24" s="8" t="s">
        <v>251</v>
      </c>
      <c r="I24" s="6">
        <f>+SUM(G24:G30)*UVT!B33</f>
        <v>0</v>
      </c>
    </row>
    <row r="25" spans="1:9" x14ac:dyDescent="0.45">
      <c r="A25" s="1">
        <v>241</v>
      </c>
      <c r="B25" s="1">
        <v>1943</v>
      </c>
      <c r="C25" s="1">
        <v>1091</v>
      </c>
      <c r="D25" s="1">
        <v>1700</v>
      </c>
      <c r="E25" s="4">
        <v>0.19</v>
      </c>
      <c r="F25" s="7" t="str">
        <f>+IF(AND($I$23&gt;=C25,$I$23&lt;=D25),$I$23," ")</f>
        <v xml:space="preserve"> </v>
      </c>
      <c r="G25" s="7" t="str">
        <f>IFERROR(+((F25-1090)*19%)," ")</f>
        <v xml:space="preserve"> </v>
      </c>
    </row>
    <row r="26" spans="1:9" x14ac:dyDescent="0.45">
      <c r="A26" s="1">
        <v>241</v>
      </c>
      <c r="B26" s="1">
        <v>1943</v>
      </c>
      <c r="C26" s="1">
        <v>1701</v>
      </c>
      <c r="D26" s="1">
        <v>4100</v>
      </c>
      <c r="E26" s="4">
        <v>0.28000000000000003</v>
      </c>
      <c r="F26" s="7" t="str">
        <f>+IF(AND($I$23&gt;=C26,$I$23&lt;=D26),$I$23," ")</f>
        <v xml:space="preserve"> </v>
      </c>
      <c r="G26" s="7" t="str">
        <f>IFERROR(+(((F26-1700)*28%)+116)," ")</f>
        <v xml:space="preserve"> </v>
      </c>
    </row>
    <row r="27" spans="1:9" x14ac:dyDescent="0.45">
      <c r="A27" s="1">
        <v>241</v>
      </c>
      <c r="B27" s="1">
        <v>1943</v>
      </c>
      <c r="C27" s="1">
        <v>4101</v>
      </c>
      <c r="D27" s="1">
        <v>8670</v>
      </c>
      <c r="E27" s="4">
        <v>0.33</v>
      </c>
      <c r="F27" s="7" t="str">
        <f>+IF(AND($I$23&gt;=C27,$I$23&lt;=D27),$I$23," ")</f>
        <v xml:space="preserve"> </v>
      </c>
      <c r="G27" s="7" t="str">
        <f>IFERROR(+(((F27-4100)*33%)+788)," ")</f>
        <v xml:space="preserve"> </v>
      </c>
    </row>
    <row r="28" spans="1:9" x14ac:dyDescent="0.45">
      <c r="A28" s="1">
        <v>241</v>
      </c>
      <c r="B28" s="1">
        <v>1943</v>
      </c>
      <c r="C28" s="1">
        <v>8671</v>
      </c>
      <c r="D28" s="1">
        <v>18970</v>
      </c>
      <c r="E28" s="4">
        <v>0.35</v>
      </c>
      <c r="F28" s="7" t="str">
        <f>+IF(AND($I$23&gt;=C28,$I$23&lt;=D28),$I$23," ")</f>
        <v xml:space="preserve"> </v>
      </c>
      <c r="G28" s="7" t="str">
        <f>IFERROR(+(((F28-8670)*35%)+2296)," ")</f>
        <v xml:space="preserve"> </v>
      </c>
    </row>
    <row r="29" spans="1:9" x14ac:dyDescent="0.45">
      <c r="A29" s="1">
        <v>241</v>
      </c>
      <c r="B29" s="1">
        <v>1943</v>
      </c>
      <c r="C29" s="1">
        <v>18971</v>
      </c>
      <c r="D29" s="1">
        <v>31000</v>
      </c>
      <c r="E29" s="4">
        <v>0.37</v>
      </c>
      <c r="F29" s="7" t="str">
        <f>+IF(AND($I$23&gt;=C29,$I$23&lt;=D29),$I$23," ")</f>
        <v xml:space="preserve"> </v>
      </c>
      <c r="G29" s="7" t="str">
        <f>IFERROR(+(((F29-18970)*37%)+5900)," ")</f>
        <v xml:space="preserve"> </v>
      </c>
    </row>
    <row r="30" spans="1:9" x14ac:dyDescent="0.45">
      <c r="A30" s="1">
        <v>241</v>
      </c>
      <c r="B30" s="1">
        <v>1943</v>
      </c>
      <c r="C30" s="1">
        <v>31001</v>
      </c>
      <c r="D30" s="1"/>
      <c r="E30" s="4">
        <v>0.39</v>
      </c>
      <c r="F30" s="7" t="str">
        <f>+IF(I23&gt;=C30,I23," ")</f>
        <v xml:space="preserve"> </v>
      </c>
      <c r="G30" s="7" t="str">
        <f>IFERROR(+(((F30-31000)*39%)+10352)," ")</f>
        <v xml:space="preserve"> </v>
      </c>
    </row>
  </sheetData>
  <sheetProtection algorithmName="SHA-512" hashValue="4vZJE/kJ3kcuBNwiRkasWg0DjbhbH4sTVwxnCku9QwqXAbeAEePCHaKQbEXLzKEIV5JMs2NsKVB/eZ1dMNezvg==" saltValue="5pBz1A3vdi+9btLpw4KgJg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E2425-7941-4E59-A26B-66EFC93F93AD}">
  <sheetPr codeName="Hoja3"/>
  <dimension ref="A1:Q139"/>
  <sheetViews>
    <sheetView showGridLines="0" topLeftCell="A2" zoomScale="81" zoomScaleNormal="70" workbookViewId="0">
      <selection activeCell="U39" sqref="U39"/>
    </sheetView>
  </sheetViews>
  <sheetFormatPr baseColWidth="10" defaultRowHeight="14.25" x14ac:dyDescent="0.45"/>
  <cols>
    <col min="1" max="2" width="10.6640625" style="290"/>
    <col min="3" max="3" width="19.265625" style="292" customWidth="1"/>
    <col min="4" max="4" width="29.46484375" style="292" customWidth="1"/>
    <col min="5" max="6" width="10.6640625" style="290"/>
    <col min="7" max="7" width="6.265625" style="290" customWidth="1"/>
    <col min="8" max="8" width="31.06640625" style="293" bestFit="1" customWidth="1"/>
    <col min="9" max="9" width="28" style="293" customWidth="1"/>
    <col min="10" max="10" width="10.6640625" style="290"/>
    <col min="11" max="11" width="19.06640625" style="290" customWidth="1"/>
    <col min="12" max="12" width="29.46484375" style="290" customWidth="1"/>
    <col min="13" max="13" width="10.6640625" style="290"/>
    <col min="14" max="14" width="18" style="290" customWidth="1"/>
    <col min="15" max="15" width="21.73046875" style="293" customWidth="1"/>
    <col min="16" max="16384" width="10.6640625" style="290"/>
  </cols>
  <sheetData>
    <row r="1" spans="1:16" s="114" customFormat="1" x14ac:dyDescent="0.45">
      <c r="A1" s="289"/>
      <c r="C1" s="124"/>
      <c r="D1" s="124"/>
      <c r="H1" s="232"/>
      <c r="I1" s="232"/>
      <c r="O1" s="232"/>
    </row>
    <row r="2" spans="1:16" s="289" customFormat="1" x14ac:dyDescent="0.45">
      <c r="B2" s="114"/>
      <c r="C2" s="124"/>
      <c r="D2" s="124"/>
      <c r="E2" s="114"/>
      <c r="F2" s="114"/>
      <c r="G2" s="114"/>
      <c r="H2" s="232"/>
      <c r="I2" s="232"/>
      <c r="J2" s="114"/>
      <c r="K2" s="114"/>
      <c r="L2" s="114"/>
      <c r="M2" s="114"/>
      <c r="N2" s="114"/>
      <c r="O2" s="232"/>
      <c r="P2" s="114"/>
    </row>
    <row r="3" spans="1:16" s="289" customFormat="1" x14ac:dyDescent="0.45">
      <c r="B3" s="114"/>
      <c r="C3" s="124"/>
      <c r="D3" s="124"/>
      <c r="E3" s="114"/>
      <c r="F3" s="114"/>
      <c r="G3" s="114"/>
      <c r="H3" s="232"/>
      <c r="I3" s="232"/>
      <c r="J3" s="114"/>
      <c r="K3" s="114"/>
      <c r="L3" s="114"/>
      <c r="M3" s="114"/>
      <c r="N3" s="114"/>
      <c r="O3" s="232"/>
      <c r="P3" s="114"/>
    </row>
    <row r="4" spans="1:16" s="289" customFormat="1" x14ac:dyDescent="0.45">
      <c r="B4" s="114"/>
      <c r="C4" s="124"/>
      <c r="D4" s="124"/>
      <c r="E4" s="114"/>
      <c r="F4" s="114"/>
      <c r="G4" s="114"/>
      <c r="H4" s="232"/>
      <c r="I4" s="232"/>
      <c r="J4" s="114"/>
      <c r="K4" s="114"/>
      <c r="L4" s="114"/>
      <c r="M4" s="114"/>
      <c r="N4" s="114"/>
      <c r="O4" s="232"/>
      <c r="P4" s="114"/>
    </row>
    <row r="5" spans="1:16" s="289" customFormat="1" x14ac:dyDescent="0.45">
      <c r="B5" s="114"/>
      <c r="C5" s="124"/>
      <c r="D5" s="124"/>
      <c r="E5" s="114"/>
      <c r="F5" s="114"/>
      <c r="G5" s="114"/>
      <c r="H5" s="232"/>
      <c r="I5" s="232"/>
      <c r="J5" s="114"/>
      <c r="K5" s="114"/>
      <c r="L5" s="114"/>
      <c r="M5" s="114"/>
      <c r="N5" s="114"/>
      <c r="O5" s="232"/>
      <c r="P5" s="114"/>
    </row>
    <row r="6" spans="1:16" s="289" customFormat="1" x14ac:dyDescent="0.45">
      <c r="B6" s="114"/>
      <c r="C6" s="124"/>
      <c r="D6" s="124"/>
      <c r="E6" s="114"/>
      <c r="F6" s="114"/>
      <c r="G6" s="114"/>
      <c r="H6" s="232"/>
      <c r="I6" s="232"/>
      <c r="J6" s="114"/>
      <c r="K6" s="114"/>
      <c r="L6" s="114"/>
      <c r="M6" s="114"/>
      <c r="N6" s="114"/>
      <c r="O6" s="232"/>
      <c r="P6" s="114"/>
    </row>
    <row r="7" spans="1:16" s="289" customFormat="1" x14ac:dyDescent="0.45">
      <c r="B7" s="114"/>
      <c r="C7" s="124"/>
      <c r="D7" s="124"/>
      <c r="E7" s="114"/>
      <c r="F7" s="114"/>
      <c r="G7" s="114"/>
      <c r="H7" s="232"/>
      <c r="I7" s="232"/>
      <c r="J7" s="114"/>
      <c r="K7" s="114"/>
      <c r="L7" s="114"/>
      <c r="M7" s="114"/>
      <c r="N7" s="114"/>
      <c r="O7" s="232"/>
      <c r="P7" s="114"/>
    </row>
    <row r="8" spans="1:16" s="289" customFormat="1" x14ac:dyDescent="0.45">
      <c r="B8" s="114"/>
      <c r="C8" s="124"/>
      <c r="D8" s="124"/>
      <c r="E8" s="114"/>
      <c r="F8" s="114"/>
      <c r="G8" s="114"/>
      <c r="H8" s="232"/>
      <c r="I8" s="232"/>
      <c r="J8" s="114"/>
      <c r="K8" s="114"/>
      <c r="L8" s="114"/>
      <c r="M8" s="114"/>
      <c r="N8" s="114"/>
      <c r="O8" s="232"/>
      <c r="P8" s="114"/>
    </row>
    <row r="9" spans="1:16" s="289" customFormat="1" x14ac:dyDescent="0.45">
      <c r="B9" s="114"/>
      <c r="C9" s="117" t="s">
        <v>95</v>
      </c>
      <c r="D9" s="117" t="s">
        <v>155</v>
      </c>
      <c r="E9" s="318" t="s">
        <v>97</v>
      </c>
      <c r="F9" s="318"/>
      <c r="G9" s="318"/>
      <c r="H9" s="230" t="s">
        <v>189</v>
      </c>
      <c r="I9" s="230" t="s">
        <v>197</v>
      </c>
      <c r="J9" s="114"/>
      <c r="K9" s="117" t="s">
        <v>98</v>
      </c>
      <c r="L9" s="117" t="s">
        <v>96</v>
      </c>
      <c r="M9" s="318" t="s">
        <v>97</v>
      </c>
      <c r="N9" s="318"/>
      <c r="O9" s="230" t="s">
        <v>99</v>
      </c>
      <c r="P9" s="114"/>
    </row>
    <row r="10" spans="1:16" s="289" customFormat="1" x14ac:dyDescent="0.45">
      <c r="B10" s="114"/>
      <c r="C10" s="127"/>
      <c r="D10" s="127"/>
      <c r="E10" s="299"/>
      <c r="F10" s="299"/>
      <c r="G10" s="299"/>
      <c r="H10" s="231"/>
      <c r="I10" s="231"/>
      <c r="J10" s="114"/>
      <c r="K10" s="125"/>
      <c r="L10" s="125"/>
      <c r="M10" s="323"/>
      <c r="N10" s="325"/>
      <c r="O10" s="231"/>
      <c r="P10" s="114"/>
    </row>
    <row r="11" spans="1:16" s="289" customFormat="1" x14ac:dyDescent="0.45">
      <c r="B11" s="114"/>
      <c r="C11" s="127"/>
      <c r="D11" s="127"/>
      <c r="E11" s="299"/>
      <c r="F11" s="299"/>
      <c r="G11" s="299"/>
      <c r="H11" s="231"/>
      <c r="I11" s="231"/>
      <c r="J11" s="114"/>
      <c r="K11" s="125"/>
      <c r="L11" s="125"/>
      <c r="M11" s="323"/>
      <c r="N11" s="325"/>
      <c r="O11" s="231"/>
      <c r="P11" s="114"/>
    </row>
    <row r="12" spans="1:16" s="289" customFormat="1" x14ac:dyDescent="0.45">
      <c r="B12" s="114"/>
      <c r="C12" s="127"/>
      <c r="D12" s="127"/>
      <c r="E12" s="299"/>
      <c r="F12" s="299"/>
      <c r="G12" s="299"/>
      <c r="H12" s="231"/>
      <c r="I12" s="231"/>
      <c r="J12" s="114"/>
      <c r="K12" s="125"/>
      <c r="L12" s="125"/>
      <c r="M12" s="323"/>
      <c r="N12" s="325"/>
      <c r="O12" s="231"/>
      <c r="P12" s="114"/>
    </row>
    <row r="13" spans="1:16" s="289" customFormat="1" x14ac:dyDescent="0.45">
      <c r="B13" s="114"/>
      <c r="C13" s="1"/>
      <c r="D13" s="1"/>
      <c r="E13" s="598"/>
      <c r="F13" s="598"/>
      <c r="G13" s="598"/>
      <c r="H13" s="6"/>
      <c r="I13" s="231"/>
      <c r="J13" s="114"/>
      <c r="K13" s="125"/>
      <c r="L13" s="125"/>
      <c r="M13" s="323"/>
      <c r="N13" s="325"/>
      <c r="O13" s="231"/>
      <c r="P13" s="114"/>
    </row>
    <row r="14" spans="1:16" s="289" customFormat="1" x14ac:dyDescent="0.45">
      <c r="B14" s="114"/>
      <c r="C14" s="1"/>
      <c r="D14" s="1"/>
      <c r="E14" s="598"/>
      <c r="F14" s="598"/>
      <c r="G14" s="598"/>
      <c r="H14" s="6"/>
      <c r="I14" s="231"/>
      <c r="J14" s="114"/>
      <c r="K14" s="125"/>
      <c r="L14" s="125"/>
      <c r="M14" s="323"/>
      <c r="N14" s="325"/>
      <c r="O14" s="231"/>
      <c r="P14" s="114"/>
    </row>
    <row r="15" spans="1:16" s="289" customFormat="1" x14ac:dyDescent="0.45">
      <c r="B15" s="114"/>
      <c r="C15" s="127"/>
      <c r="D15" s="127"/>
      <c r="E15" s="299"/>
      <c r="F15" s="299"/>
      <c r="G15" s="299"/>
      <c r="H15" s="231"/>
      <c r="I15" s="231"/>
      <c r="J15" s="114"/>
      <c r="K15" s="125"/>
      <c r="L15" s="125"/>
      <c r="M15" s="323"/>
      <c r="N15" s="325"/>
      <c r="O15" s="231"/>
      <c r="P15" s="114"/>
    </row>
    <row r="16" spans="1:16" s="289" customFormat="1" x14ac:dyDescent="0.45">
      <c r="B16" s="114"/>
      <c r="C16" s="127"/>
      <c r="D16" s="127"/>
      <c r="E16" s="299"/>
      <c r="F16" s="299"/>
      <c r="G16" s="299"/>
      <c r="H16" s="231"/>
      <c r="I16" s="231"/>
      <c r="J16" s="114"/>
      <c r="K16" s="125"/>
      <c r="L16" s="125"/>
      <c r="M16" s="323"/>
      <c r="N16" s="325"/>
      <c r="O16" s="231"/>
      <c r="P16" s="114"/>
    </row>
    <row r="17" spans="2:17" s="289" customFormat="1" x14ac:dyDescent="0.45">
      <c r="B17" s="114"/>
      <c r="C17" s="127"/>
      <c r="D17" s="127"/>
      <c r="E17" s="299"/>
      <c r="F17" s="299"/>
      <c r="G17" s="299"/>
      <c r="H17" s="231"/>
      <c r="I17" s="231"/>
      <c r="J17" s="114"/>
      <c r="K17" s="125"/>
      <c r="L17" s="125"/>
      <c r="M17" s="323"/>
      <c r="N17" s="325"/>
      <c r="O17" s="231"/>
      <c r="P17" s="114"/>
    </row>
    <row r="18" spans="2:17" s="289" customFormat="1" x14ac:dyDescent="0.45">
      <c r="B18" s="114"/>
      <c r="C18" s="127"/>
      <c r="D18" s="127"/>
      <c r="E18" s="299"/>
      <c r="F18" s="299"/>
      <c r="G18" s="299"/>
      <c r="H18" s="231"/>
      <c r="I18" s="231"/>
      <c r="J18" s="114"/>
      <c r="K18" s="125"/>
      <c r="L18" s="125"/>
      <c r="M18" s="323"/>
      <c r="N18" s="325"/>
      <c r="O18" s="231"/>
      <c r="P18" s="114"/>
    </row>
    <row r="19" spans="2:17" s="289" customFormat="1" x14ac:dyDescent="0.45">
      <c r="B19" s="114"/>
      <c r="C19" s="127"/>
      <c r="D19" s="127"/>
      <c r="E19" s="299"/>
      <c r="F19" s="299"/>
      <c r="G19" s="299"/>
      <c r="H19" s="231"/>
      <c r="I19" s="231"/>
      <c r="J19" s="114"/>
      <c r="K19" s="125"/>
      <c r="L19" s="125"/>
      <c r="M19" s="323"/>
      <c r="N19" s="325"/>
      <c r="O19" s="231"/>
      <c r="P19" s="114"/>
    </row>
    <row r="20" spans="2:17" s="289" customFormat="1" x14ac:dyDescent="0.45">
      <c r="B20" s="114"/>
      <c r="C20" s="127"/>
      <c r="D20" s="127"/>
      <c r="E20" s="299"/>
      <c r="F20" s="299"/>
      <c r="G20" s="299"/>
      <c r="H20" s="231"/>
      <c r="I20" s="231"/>
      <c r="J20" s="114"/>
      <c r="K20" s="125"/>
      <c r="L20" s="125"/>
      <c r="M20" s="323"/>
      <c r="N20" s="325"/>
      <c r="O20" s="231"/>
      <c r="P20" s="114"/>
    </row>
    <row r="21" spans="2:17" s="289" customFormat="1" x14ac:dyDescent="0.45">
      <c r="B21" s="114"/>
      <c r="C21" s="127"/>
      <c r="D21" s="127"/>
      <c r="E21" s="299"/>
      <c r="F21" s="299"/>
      <c r="G21" s="299"/>
      <c r="H21" s="231"/>
      <c r="I21" s="231"/>
      <c r="J21" s="114"/>
      <c r="K21" s="125"/>
      <c r="L21" s="125"/>
      <c r="M21" s="323"/>
      <c r="N21" s="325"/>
      <c r="O21" s="231"/>
      <c r="P21" s="114"/>
    </row>
    <row r="22" spans="2:17" s="289" customFormat="1" x14ac:dyDescent="0.45">
      <c r="B22" s="114"/>
      <c r="C22" s="127"/>
      <c r="D22" s="127"/>
      <c r="E22" s="299"/>
      <c r="F22" s="299"/>
      <c r="G22" s="299"/>
      <c r="H22" s="231"/>
      <c r="I22" s="231"/>
      <c r="J22" s="114"/>
      <c r="K22" s="125"/>
      <c r="L22" s="125"/>
      <c r="M22" s="323"/>
      <c r="N22" s="325"/>
      <c r="O22" s="231"/>
      <c r="P22" s="114"/>
    </row>
    <row r="23" spans="2:17" s="289" customFormat="1" x14ac:dyDescent="0.45">
      <c r="B23" s="114"/>
      <c r="C23" s="127"/>
      <c r="D23" s="127"/>
      <c r="E23" s="299"/>
      <c r="F23" s="299"/>
      <c r="G23" s="299"/>
      <c r="H23" s="231"/>
      <c r="I23" s="231"/>
      <c r="J23" s="114"/>
      <c r="K23" s="125"/>
      <c r="L23" s="125"/>
      <c r="M23" s="323"/>
      <c r="N23" s="325"/>
      <c r="O23" s="231"/>
      <c r="P23" s="114"/>
    </row>
    <row r="24" spans="2:17" s="289" customFormat="1" x14ac:dyDescent="0.45">
      <c r="B24" s="114"/>
      <c r="C24" s="127"/>
      <c r="D24" s="127"/>
      <c r="E24" s="299"/>
      <c r="F24" s="299"/>
      <c r="G24" s="299"/>
      <c r="H24" s="231"/>
      <c r="I24" s="231"/>
      <c r="J24" s="114"/>
      <c r="K24" s="125"/>
      <c r="L24" s="125"/>
      <c r="M24" s="323"/>
      <c r="N24" s="325"/>
      <c r="O24" s="231"/>
      <c r="P24" s="114"/>
    </row>
    <row r="25" spans="2:17" s="289" customFormat="1" x14ac:dyDescent="0.45">
      <c r="B25" s="114"/>
      <c r="C25" s="127"/>
      <c r="D25" s="127"/>
      <c r="E25" s="299"/>
      <c r="F25" s="299"/>
      <c r="G25" s="299"/>
      <c r="H25" s="231"/>
      <c r="I25" s="231"/>
      <c r="J25" s="114"/>
      <c r="K25" s="125"/>
      <c r="L25" s="125"/>
      <c r="M25" s="323"/>
      <c r="N25" s="325"/>
      <c r="O25" s="231"/>
      <c r="P25" s="114"/>
    </row>
    <row r="26" spans="2:17" s="289" customFormat="1" x14ac:dyDescent="0.45">
      <c r="B26" s="114"/>
      <c r="C26" s="855" t="str">
        <f>+IF(Motor!B29&gt;0,"PRESENTA UN INCREMENTO PATRIMONIAL NO JUSTIFICADO EN SU DECLARACION DE RENTA"," ")</f>
        <v xml:space="preserve"> </v>
      </c>
      <c r="D26" s="855"/>
      <c r="E26" s="855"/>
      <c r="F26" s="855"/>
      <c r="G26" s="855"/>
      <c r="H26" s="856" t="s">
        <v>451</v>
      </c>
      <c r="I26" s="858" t="s">
        <v>454</v>
      </c>
      <c r="J26" s="114"/>
      <c r="K26" s="125"/>
      <c r="L26" s="125"/>
      <c r="M26" s="323"/>
      <c r="N26" s="325"/>
      <c r="O26" s="231"/>
      <c r="P26" s="114"/>
    </row>
    <row r="27" spans="2:17" s="289" customFormat="1" x14ac:dyDescent="0.45">
      <c r="B27" s="114"/>
      <c r="C27" s="855"/>
      <c r="D27" s="855"/>
      <c r="E27" s="855"/>
      <c r="F27" s="855"/>
      <c r="G27" s="855"/>
      <c r="H27" s="857"/>
      <c r="I27" s="859"/>
      <c r="J27" s="114"/>
      <c r="K27" s="125"/>
      <c r="L27" s="125"/>
      <c r="M27" s="299"/>
      <c r="N27" s="299"/>
      <c r="O27" s="231"/>
      <c r="P27" s="114"/>
    </row>
    <row r="28" spans="2:17" x14ac:dyDescent="0.45">
      <c r="B28"/>
      <c r="C28" s="861"/>
      <c r="D28" s="861"/>
      <c r="E28" s="861"/>
      <c r="F28" s="861"/>
      <c r="G28" s="861"/>
      <c r="H28" s="233"/>
      <c r="I28" s="233"/>
      <c r="J28"/>
      <c r="K28" s="861"/>
      <c r="L28" s="861"/>
      <c r="M28" s="861"/>
      <c r="N28" s="861"/>
      <c r="O28" s="233"/>
      <c r="P28"/>
      <c r="Q28" s="294"/>
    </row>
    <row r="29" spans="2:17" x14ac:dyDescent="0.45">
      <c r="B29"/>
      <c r="C29" s="2"/>
      <c r="D29" s="2"/>
      <c r="E29" s="860"/>
      <c r="F29" s="860"/>
      <c r="G29" s="860"/>
      <c r="H29" s="234"/>
      <c r="I29" s="234"/>
      <c r="J29"/>
      <c r="K29"/>
      <c r="L29"/>
      <c r="M29"/>
      <c r="N29"/>
      <c r="O29" s="234"/>
      <c r="P29"/>
    </row>
    <row r="30" spans="2:17" x14ac:dyDescent="0.45">
      <c r="B30"/>
      <c r="C30" s="2"/>
      <c r="D30" s="2"/>
      <c r="E30" s="860"/>
      <c r="F30" s="860"/>
      <c r="G30" s="860"/>
      <c r="H30" s="234"/>
      <c r="I30" s="234"/>
      <c r="J30"/>
      <c r="K30"/>
      <c r="L30"/>
      <c r="M30"/>
      <c r="N30"/>
      <c r="O30" s="234"/>
      <c r="P30"/>
    </row>
    <row r="31" spans="2:17" x14ac:dyDescent="0.45">
      <c r="B31"/>
      <c r="C31" s="2"/>
      <c r="D31" s="2"/>
      <c r="E31" s="860"/>
      <c r="F31" s="860"/>
      <c r="G31" s="860"/>
      <c r="H31" s="234"/>
      <c r="I31" s="234"/>
      <c r="J31"/>
      <c r="K31"/>
      <c r="L31"/>
      <c r="M31"/>
      <c r="N31"/>
      <c r="O31" s="234"/>
      <c r="P31"/>
    </row>
    <row r="32" spans="2:17" x14ac:dyDescent="0.45">
      <c r="B32"/>
      <c r="C32" s="2"/>
      <c r="D32" s="2"/>
      <c r="E32" s="860"/>
      <c r="F32" s="860"/>
      <c r="G32" s="860"/>
      <c r="H32" s="234"/>
      <c r="I32" s="234"/>
      <c r="J32"/>
      <c r="K32"/>
      <c r="L32"/>
      <c r="M32"/>
      <c r="N32"/>
      <c r="O32" s="234"/>
      <c r="P32"/>
    </row>
    <row r="33" spans="2:16" x14ac:dyDescent="0.45">
      <c r="B33"/>
      <c r="C33" s="2"/>
      <c r="D33" s="2"/>
      <c r="E33" s="860"/>
      <c r="F33" s="860"/>
      <c r="G33" s="860"/>
      <c r="H33" s="234"/>
      <c r="I33" s="234"/>
      <c r="J33"/>
      <c r="K33"/>
      <c r="L33"/>
      <c r="M33"/>
      <c r="N33"/>
      <c r="O33" s="234"/>
      <c r="P33"/>
    </row>
    <row r="34" spans="2:16" x14ac:dyDescent="0.45">
      <c r="B34"/>
      <c r="C34" s="2"/>
      <c r="D34" s="2"/>
      <c r="E34" s="860"/>
      <c r="F34" s="860"/>
      <c r="G34" s="860"/>
      <c r="H34" s="234"/>
      <c r="I34" s="234"/>
      <c r="J34"/>
      <c r="K34"/>
      <c r="L34"/>
      <c r="M34"/>
      <c r="N34"/>
      <c r="O34" s="234"/>
      <c r="P34"/>
    </row>
    <row r="35" spans="2:16" x14ac:dyDescent="0.45">
      <c r="B35"/>
      <c r="C35" s="2"/>
      <c r="D35" s="2"/>
      <c r="E35" s="235"/>
      <c r="F35" s="235"/>
      <c r="G35" s="235"/>
      <c r="H35" s="234"/>
      <c r="I35" s="234"/>
      <c r="J35"/>
      <c r="K35" s="235"/>
      <c r="L35"/>
      <c r="M35"/>
      <c r="N35"/>
      <c r="O35" s="234"/>
      <c r="P35"/>
    </row>
    <row r="36" spans="2:16" x14ac:dyDescent="0.45">
      <c r="B36"/>
      <c r="C36" s="2"/>
      <c r="D36" s="2"/>
      <c r="E36" s="860"/>
      <c r="F36" s="860"/>
      <c r="G36" s="860"/>
      <c r="H36" s="234"/>
      <c r="I36" s="234"/>
      <c r="J36"/>
      <c r="K36"/>
      <c r="L36"/>
      <c r="M36"/>
      <c r="N36"/>
      <c r="O36" s="234"/>
      <c r="P36"/>
    </row>
    <row r="37" spans="2:16" x14ac:dyDescent="0.45">
      <c r="B37"/>
      <c r="C37" s="2"/>
      <c r="D37" s="2"/>
      <c r="E37" s="860"/>
      <c r="F37" s="860"/>
      <c r="G37" s="860"/>
      <c r="H37" s="234"/>
      <c r="I37" s="234"/>
      <c r="J37"/>
      <c r="K37"/>
      <c r="L37"/>
      <c r="M37"/>
      <c r="N37"/>
      <c r="O37" s="234"/>
      <c r="P37"/>
    </row>
    <row r="38" spans="2:16" x14ac:dyDescent="0.45">
      <c r="E38" s="862"/>
      <c r="F38" s="862"/>
      <c r="G38" s="862"/>
    </row>
    <row r="39" spans="2:16" x14ac:dyDescent="0.45">
      <c r="E39" s="862"/>
      <c r="F39" s="862"/>
      <c r="G39" s="862"/>
    </row>
    <row r="40" spans="2:16" x14ac:dyDescent="0.45">
      <c r="E40" s="862"/>
      <c r="F40" s="862"/>
      <c r="G40" s="862"/>
    </row>
    <row r="41" spans="2:16" x14ac:dyDescent="0.45">
      <c r="E41" s="862"/>
      <c r="F41" s="862"/>
      <c r="G41" s="862"/>
    </row>
    <row r="42" spans="2:16" x14ac:dyDescent="0.45">
      <c r="E42" s="862"/>
      <c r="F42" s="862"/>
      <c r="G42" s="862"/>
    </row>
    <row r="43" spans="2:16" x14ac:dyDescent="0.45">
      <c r="E43" s="862"/>
      <c r="F43" s="862"/>
      <c r="G43" s="862"/>
    </row>
    <row r="44" spans="2:16" x14ac:dyDescent="0.45">
      <c r="E44" s="862"/>
      <c r="F44" s="862"/>
      <c r="G44" s="862"/>
    </row>
    <row r="45" spans="2:16" x14ac:dyDescent="0.45">
      <c r="E45" s="862"/>
      <c r="F45" s="862"/>
      <c r="G45" s="862"/>
    </row>
    <row r="46" spans="2:16" x14ac:dyDescent="0.45">
      <c r="E46" s="862"/>
      <c r="F46" s="862"/>
      <c r="G46" s="862"/>
    </row>
    <row r="47" spans="2:16" x14ac:dyDescent="0.45">
      <c r="E47" s="862"/>
      <c r="F47" s="862"/>
      <c r="G47" s="862"/>
    </row>
    <row r="48" spans="2:16" x14ac:dyDescent="0.45">
      <c r="E48" s="862"/>
      <c r="F48" s="862"/>
      <c r="G48" s="862"/>
    </row>
    <row r="49" spans="5:7" x14ac:dyDescent="0.45">
      <c r="E49" s="862"/>
      <c r="F49" s="862"/>
      <c r="G49" s="862"/>
    </row>
    <row r="50" spans="5:7" x14ac:dyDescent="0.45">
      <c r="E50" s="862"/>
      <c r="F50" s="862"/>
      <c r="G50" s="862"/>
    </row>
    <row r="51" spans="5:7" x14ac:dyDescent="0.45">
      <c r="E51" s="862"/>
      <c r="F51" s="862"/>
      <c r="G51" s="862"/>
    </row>
    <row r="52" spans="5:7" x14ac:dyDescent="0.45">
      <c r="E52" s="862"/>
      <c r="F52" s="862"/>
      <c r="G52" s="862"/>
    </row>
    <row r="53" spans="5:7" x14ac:dyDescent="0.45">
      <c r="E53" s="862"/>
      <c r="F53" s="862"/>
      <c r="G53" s="862"/>
    </row>
    <row r="54" spans="5:7" x14ac:dyDescent="0.45">
      <c r="E54" s="862"/>
      <c r="F54" s="862"/>
      <c r="G54" s="862"/>
    </row>
    <row r="55" spans="5:7" x14ac:dyDescent="0.45">
      <c r="E55" s="862"/>
      <c r="F55" s="862"/>
      <c r="G55" s="862"/>
    </row>
    <row r="56" spans="5:7" x14ac:dyDescent="0.45">
      <c r="E56" s="862"/>
      <c r="F56" s="862"/>
      <c r="G56" s="862"/>
    </row>
    <row r="57" spans="5:7" x14ac:dyDescent="0.45">
      <c r="E57" s="862"/>
      <c r="F57" s="862"/>
      <c r="G57" s="862"/>
    </row>
    <row r="58" spans="5:7" x14ac:dyDescent="0.45">
      <c r="E58" s="862"/>
      <c r="F58" s="862"/>
      <c r="G58" s="862"/>
    </row>
    <row r="59" spans="5:7" x14ac:dyDescent="0.45">
      <c r="E59" s="862"/>
      <c r="F59" s="862"/>
      <c r="G59" s="862"/>
    </row>
    <row r="60" spans="5:7" x14ac:dyDescent="0.45">
      <c r="E60" s="862"/>
      <c r="F60" s="862"/>
      <c r="G60" s="862"/>
    </row>
    <row r="61" spans="5:7" x14ac:dyDescent="0.45">
      <c r="E61" s="862"/>
      <c r="F61" s="862"/>
      <c r="G61" s="862"/>
    </row>
    <row r="62" spans="5:7" x14ac:dyDescent="0.45">
      <c r="E62" s="862"/>
      <c r="F62" s="862"/>
      <c r="G62" s="862"/>
    </row>
    <row r="63" spans="5:7" x14ac:dyDescent="0.45">
      <c r="E63" s="862"/>
      <c r="F63" s="862"/>
      <c r="G63" s="862"/>
    </row>
    <row r="64" spans="5:7" x14ac:dyDescent="0.45">
      <c r="E64" s="862"/>
      <c r="F64" s="862"/>
      <c r="G64" s="862"/>
    </row>
    <row r="65" spans="5:7" x14ac:dyDescent="0.45">
      <c r="E65" s="862"/>
      <c r="F65" s="862"/>
      <c r="G65" s="862"/>
    </row>
    <row r="66" spans="5:7" x14ac:dyDescent="0.45">
      <c r="E66" s="862"/>
      <c r="F66" s="862"/>
      <c r="G66" s="862"/>
    </row>
    <row r="67" spans="5:7" x14ac:dyDescent="0.45">
      <c r="E67" s="862"/>
      <c r="F67" s="862"/>
      <c r="G67" s="862"/>
    </row>
    <row r="68" spans="5:7" x14ac:dyDescent="0.45">
      <c r="E68" s="862"/>
      <c r="F68" s="862"/>
      <c r="G68" s="862"/>
    </row>
    <row r="69" spans="5:7" x14ac:dyDescent="0.45">
      <c r="E69" s="862"/>
      <c r="F69" s="862"/>
      <c r="G69" s="862"/>
    </row>
    <row r="70" spans="5:7" x14ac:dyDescent="0.45">
      <c r="E70" s="862"/>
      <c r="F70" s="862"/>
      <c r="G70" s="862"/>
    </row>
    <row r="71" spans="5:7" x14ac:dyDescent="0.45">
      <c r="E71" s="862"/>
      <c r="F71" s="862"/>
      <c r="G71" s="862"/>
    </row>
    <row r="72" spans="5:7" x14ac:dyDescent="0.45">
      <c r="E72" s="862"/>
      <c r="F72" s="862"/>
      <c r="G72" s="862"/>
    </row>
    <row r="73" spans="5:7" x14ac:dyDescent="0.45">
      <c r="E73" s="862"/>
      <c r="F73" s="862"/>
      <c r="G73" s="862"/>
    </row>
    <row r="74" spans="5:7" x14ac:dyDescent="0.45">
      <c r="E74" s="862"/>
      <c r="F74" s="862"/>
      <c r="G74" s="862"/>
    </row>
    <row r="75" spans="5:7" x14ac:dyDescent="0.45">
      <c r="E75" s="862"/>
      <c r="F75" s="862"/>
      <c r="G75" s="862"/>
    </row>
    <row r="76" spans="5:7" x14ac:dyDescent="0.45">
      <c r="E76" s="862"/>
      <c r="F76" s="862"/>
      <c r="G76" s="862"/>
    </row>
    <row r="77" spans="5:7" x14ac:dyDescent="0.45">
      <c r="E77" s="862"/>
      <c r="F77" s="862"/>
      <c r="G77" s="862"/>
    </row>
    <row r="78" spans="5:7" x14ac:dyDescent="0.45">
      <c r="E78" s="862"/>
      <c r="F78" s="862"/>
      <c r="G78" s="862"/>
    </row>
    <row r="79" spans="5:7" x14ac:dyDescent="0.45">
      <c r="E79" s="862"/>
      <c r="F79" s="862"/>
      <c r="G79" s="862"/>
    </row>
    <row r="80" spans="5:7" x14ac:dyDescent="0.45">
      <c r="E80" s="862"/>
      <c r="F80" s="862"/>
      <c r="G80" s="862"/>
    </row>
    <row r="81" spans="5:7" x14ac:dyDescent="0.45">
      <c r="E81" s="862"/>
      <c r="F81" s="862"/>
      <c r="G81" s="862"/>
    </row>
    <row r="82" spans="5:7" x14ac:dyDescent="0.45">
      <c r="E82" s="862"/>
      <c r="F82" s="862"/>
      <c r="G82" s="862"/>
    </row>
    <row r="83" spans="5:7" x14ac:dyDescent="0.45">
      <c r="E83" s="862"/>
      <c r="F83" s="862"/>
      <c r="G83" s="862"/>
    </row>
    <row r="84" spans="5:7" x14ac:dyDescent="0.45">
      <c r="E84" s="862"/>
      <c r="F84" s="862"/>
      <c r="G84" s="862"/>
    </row>
    <row r="85" spans="5:7" x14ac:dyDescent="0.45">
      <c r="E85" s="862"/>
      <c r="F85" s="862"/>
      <c r="G85" s="862"/>
    </row>
    <row r="86" spans="5:7" x14ac:dyDescent="0.45">
      <c r="E86" s="862"/>
      <c r="F86" s="862"/>
      <c r="G86" s="862"/>
    </row>
    <row r="87" spans="5:7" x14ac:dyDescent="0.45">
      <c r="E87" s="862"/>
      <c r="F87" s="862"/>
      <c r="G87" s="862"/>
    </row>
    <row r="88" spans="5:7" x14ac:dyDescent="0.45">
      <c r="E88" s="862"/>
      <c r="F88" s="862"/>
      <c r="G88" s="862"/>
    </row>
    <row r="89" spans="5:7" x14ac:dyDescent="0.45">
      <c r="E89" s="862"/>
      <c r="F89" s="862"/>
      <c r="G89" s="862"/>
    </row>
    <row r="90" spans="5:7" x14ac:dyDescent="0.45">
      <c r="E90" s="862"/>
      <c r="F90" s="862"/>
      <c r="G90" s="862"/>
    </row>
    <row r="91" spans="5:7" x14ac:dyDescent="0.45">
      <c r="E91" s="862"/>
      <c r="F91" s="862"/>
      <c r="G91" s="862"/>
    </row>
    <row r="92" spans="5:7" x14ac:dyDescent="0.45">
      <c r="E92" s="862"/>
      <c r="F92" s="862"/>
      <c r="G92" s="862"/>
    </row>
    <row r="93" spans="5:7" x14ac:dyDescent="0.45">
      <c r="E93" s="862"/>
      <c r="F93" s="862"/>
      <c r="G93" s="862"/>
    </row>
    <row r="94" spans="5:7" x14ac:dyDescent="0.45">
      <c r="E94" s="862"/>
      <c r="F94" s="862"/>
      <c r="G94" s="862"/>
    </row>
    <row r="95" spans="5:7" x14ac:dyDescent="0.45">
      <c r="E95" s="862"/>
      <c r="F95" s="862"/>
      <c r="G95" s="862"/>
    </row>
    <row r="96" spans="5:7" x14ac:dyDescent="0.45">
      <c r="E96" s="862"/>
      <c r="F96" s="862"/>
      <c r="G96" s="862"/>
    </row>
    <row r="97" spans="5:7" x14ac:dyDescent="0.45">
      <c r="E97" s="862"/>
      <c r="F97" s="862"/>
      <c r="G97" s="862"/>
    </row>
    <row r="98" spans="5:7" x14ac:dyDescent="0.45">
      <c r="E98" s="862"/>
      <c r="F98" s="862"/>
      <c r="G98" s="862"/>
    </row>
    <row r="99" spans="5:7" x14ac:dyDescent="0.45">
      <c r="E99" s="862"/>
      <c r="F99" s="862"/>
      <c r="G99" s="862"/>
    </row>
    <row r="100" spans="5:7" x14ac:dyDescent="0.45">
      <c r="E100" s="862"/>
      <c r="F100" s="862"/>
      <c r="G100" s="862"/>
    </row>
    <row r="101" spans="5:7" x14ac:dyDescent="0.45">
      <c r="E101" s="862"/>
      <c r="F101" s="862"/>
      <c r="G101" s="862"/>
    </row>
    <row r="102" spans="5:7" x14ac:dyDescent="0.45">
      <c r="E102" s="862"/>
      <c r="F102" s="862"/>
      <c r="G102" s="862"/>
    </row>
    <row r="103" spans="5:7" x14ac:dyDescent="0.45">
      <c r="E103" s="862"/>
      <c r="F103" s="862"/>
      <c r="G103" s="862"/>
    </row>
    <row r="104" spans="5:7" x14ac:dyDescent="0.45">
      <c r="E104" s="862"/>
      <c r="F104" s="862"/>
      <c r="G104" s="862"/>
    </row>
    <row r="105" spans="5:7" x14ac:dyDescent="0.45">
      <c r="E105" s="862"/>
      <c r="F105" s="862"/>
      <c r="G105" s="862"/>
    </row>
    <row r="106" spans="5:7" x14ac:dyDescent="0.45">
      <c r="E106" s="862"/>
      <c r="F106" s="862"/>
      <c r="G106" s="862"/>
    </row>
    <row r="107" spans="5:7" x14ac:dyDescent="0.45">
      <c r="E107" s="862"/>
      <c r="F107" s="862"/>
      <c r="G107" s="862"/>
    </row>
    <row r="108" spans="5:7" x14ac:dyDescent="0.45">
      <c r="E108" s="862"/>
      <c r="F108" s="862"/>
      <c r="G108" s="862"/>
    </row>
    <row r="109" spans="5:7" x14ac:dyDescent="0.45">
      <c r="E109" s="862"/>
      <c r="F109" s="862"/>
      <c r="G109" s="862"/>
    </row>
    <row r="110" spans="5:7" x14ac:dyDescent="0.45">
      <c r="E110" s="862"/>
      <c r="F110" s="862"/>
      <c r="G110" s="862"/>
    </row>
    <row r="111" spans="5:7" x14ac:dyDescent="0.45">
      <c r="E111" s="862"/>
      <c r="F111" s="862"/>
      <c r="G111" s="862"/>
    </row>
    <row r="112" spans="5:7" x14ac:dyDescent="0.45">
      <c r="E112" s="862"/>
      <c r="F112" s="862"/>
      <c r="G112" s="862"/>
    </row>
    <row r="113" spans="5:7" x14ac:dyDescent="0.45">
      <c r="E113" s="862"/>
      <c r="F113" s="862"/>
      <c r="G113" s="862"/>
    </row>
    <row r="114" spans="5:7" x14ac:dyDescent="0.45">
      <c r="E114" s="862"/>
      <c r="F114" s="862"/>
      <c r="G114" s="862"/>
    </row>
    <row r="115" spans="5:7" x14ac:dyDescent="0.45">
      <c r="E115" s="862"/>
      <c r="F115" s="862"/>
      <c r="G115" s="862"/>
    </row>
    <row r="116" spans="5:7" x14ac:dyDescent="0.45">
      <c r="E116" s="862"/>
      <c r="F116" s="862"/>
      <c r="G116" s="862"/>
    </row>
    <row r="117" spans="5:7" x14ac:dyDescent="0.45">
      <c r="E117" s="862"/>
      <c r="F117" s="862"/>
      <c r="G117" s="862"/>
    </row>
    <row r="118" spans="5:7" x14ac:dyDescent="0.45">
      <c r="E118" s="862"/>
      <c r="F118" s="862"/>
      <c r="G118" s="862"/>
    </row>
    <row r="119" spans="5:7" x14ac:dyDescent="0.45">
      <c r="E119" s="862"/>
      <c r="F119" s="862"/>
      <c r="G119" s="862"/>
    </row>
    <row r="120" spans="5:7" x14ac:dyDescent="0.45">
      <c r="E120" s="862"/>
      <c r="F120" s="862"/>
      <c r="G120" s="862"/>
    </row>
    <row r="121" spans="5:7" x14ac:dyDescent="0.45">
      <c r="E121" s="862"/>
      <c r="F121" s="862"/>
      <c r="G121" s="862"/>
    </row>
    <row r="122" spans="5:7" x14ac:dyDescent="0.45">
      <c r="E122" s="862"/>
      <c r="F122" s="862"/>
      <c r="G122" s="862"/>
    </row>
    <row r="123" spans="5:7" x14ac:dyDescent="0.45">
      <c r="E123" s="862"/>
      <c r="F123" s="862"/>
      <c r="G123" s="862"/>
    </row>
    <row r="124" spans="5:7" x14ac:dyDescent="0.45">
      <c r="E124" s="862"/>
      <c r="F124" s="862"/>
      <c r="G124" s="862"/>
    </row>
    <row r="125" spans="5:7" x14ac:dyDescent="0.45">
      <c r="E125" s="862"/>
      <c r="F125" s="862"/>
      <c r="G125" s="862"/>
    </row>
    <row r="126" spans="5:7" x14ac:dyDescent="0.45">
      <c r="E126" s="862"/>
      <c r="F126" s="862"/>
      <c r="G126" s="862"/>
    </row>
    <row r="127" spans="5:7" x14ac:dyDescent="0.45">
      <c r="E127" s="862"/>
      <c r="F127" s="862"/>
      <c r="G127" s="862"/>
    </row>
    <row r="128" spans="5:7" x14ac:dyDescent="0.45">
      <c r="E128" s="862"/>
      <c r="F128" s="862"/>
      <c r="G128" s="862"/>
    </row>
    <row r="129" spans="5:7" x14ac:dyDescent="0.45">
      <c r="E129" s="862"/>
      <c r="F129" s="862"/>
      <c r="G129" s="862"/>
    </row>
    <row r="130" spans="5:7" x14ac:dyDescent="0.45">
      <c r="E130" s="862"/>
      <c r="F130" s="862"/>
      <c r="G130" s="862"/>
    </row>
    <row r="131" spans="5:7" x14ac:dyDescent="0.45">
      <c r="E131" s="862"/>
      <c r="F131" s="862"/>
      <c r="G131" s="862"/>
    </row>
    <row r="132" spans="5:7" x14ac:dyDescent="0.45">
      <c r="E132" s="862"/>
      <c r="F132" s="862"/>
      <c r="G132" s="862"/>
    </row>
    <row r="133" spans="5:7" x14ac:dyDescent="0.45">
      <c r="E133" s="862"/>
      <c r="F133" s="862"/>
      <c r="G133" s="862"/>
    </row>
    <row r="134" spans="5:7" x14ac:dyDescent="0.45">
      <c r="E134" s="862"/>
      <c r="F134" s="862"/>
      <c r="G134" s="862"/>
    </row>
    <row r="135" spans="5:7" x14ac:dyDescent="0.45">
      <c r="E135" s="862"/>
      <c r="F135" s="862"/>
      <c r="G135" s="862"/>
    </row>
    <row r="136" spans="5:7" x14ac:dyDescent="0.45">
      <c r="E136" s="862"/>
      <c r="F136" s="862"/>
      <c r="G136" s="862"/>
    </row>
    <row r="137" spans="5:7" x14ac:dyDescent="0.45">
      <c r="E137" s="862"/>
      <c r="F137" s="862"/>
      <c r="G137" s="862"/>
    </row>
    <row r="138" spans="5:7" x14ac:dyDescent="0.45">
      <c r="E138" s="862"/>
      <c r="F138" s="862"/>
      <c r="G138" s="862"/>
    </row>
    <row r="139" spans="5:7" x14ac:dyDescent="0.45">
      <c r="E139" s="862"/>
      <c r="F139" s="862"/>
      <c r="G139" s="862"/>
    </row>
  </sheetData>
  <mergeCells count="151">
    <mergeCell ref="E122:G122"/>
    <mergeCell ref="E123:G123"/>
    <mergeCell ref="E124:G124"/>
    <mergeCell ref="E125:G125"/>
    <mergeCell ref="E126:G126"/>
    <mergeCell ref="E127:G127"/>
    <mergeCell ref="E116:G116"/>
    <mergeCell ref="E117:G117"/>
    <mergeCell ref="E118:G118"/>
    <mergeCell ref="E119:G119"/>
    <mergeCell ref="E120:G120"/>
    <mergeCell ref="E121:G121"/>
    <mergeCell ref="E134:G134"/>
    <mergeCell ref="E135:G135"/>
    <mergeCell ref="E136:G136"/>
    <mergeCell ref="E137:G137"/>
    <mergeCell ref="E138:G138"/>
    <mergeCell ref="E139:G139"/>
    <mergeCell ref="E128:G128"/>
    <mergeCell ref="E129:G129"/>
    <mergeCell ref="E130:G130"/>
    <mergeCell ref="E131:G131"/>
    <mergeCell ref="E132:G132"/>
    <mergeCell ref="E133:G133"/>
    <mergeCell ref="E110:G110"/>
    <mergeCell ref="E111:G111"/>
    <mergeCell ref="E112:G112"/>
    <mergeCell ref="E113:G113"/>
    <mergeCell ref="E114:G114"/>
    <mergeCell ref="E115:G115"/>
    <mergeCell ref="E104:G104"/>
    <mergeCell ref="E105:G105"/>
    <mergeCell ref="E106:G106"/>
    <mergeCell ref="E107:G107"/>
    <mergeCell ref="E108:G108"/>
    <mergeCell ref="E109:G109"/>
    <mergeCell ref="E98:G98"/>
    <mergeCell ref="E99:G99"/>
    <mergeCell ref="E100:G100"/>
    <mergeCell ref="E101:G101"/>
    <mergeCell ref="E102:G102"/>
    <mergeCell ref="E103:G103"/>
    <mergeCell ref="E92:G92"/>
    <mergeCell ref="E93:G93"/>
    <mergeCell ref="E94:G94"/>
    <mergeCell ref="E95:G95"/>
    <mergeCell ref="E96:G96"/>
    <mergeCell ref="E97:G97"/>
    <mergeCell ref="E86:G86"/>
    <mergeCell ref="E87:G87"/>
    <mergeCell ref="E88:G88"/>
    <mergeCell ref="E89:G89"/>
    <mergeCell ref="E90:G90"/>
    <mergeCell ref="E91:G91"/>
    <mergeCell ref="E80:G80"/>
    <mergeCell ref="E81:G81"/>
    <mergeCell ref="E82:G82"/>
    <mergeCell ref="E83:G83"/>
    <mergeCell ref="E84:G84"/>
    <mergeCell ref="E85:G85"/>
    <mergeCell ref="E74:G74"/>
    <mergeCell ref="E75:G75"/>
    <mergeCell ref="E76:G76"/>
    <mergeCell ref="E77:G77"/>
    <mergeCell ref="E78:G78"/>
    <mergeCell ref="E79:G79"/>
    <mergeCell ref="E68:G68"/>
    <mergeCell ref="E69:G69"/>
    <mergeCell ref="E70:G70"/>
    <mergeCell ref="E71:G71"/>
    <mergeCell ref="E72:G72"/>
    <mergeCell ref="E73:G73"/>
    <mergeCell ref="E65:G65"/>
    <mergeCell ref="E66:G66"/>
    <mergeCell ref="E67:G67"/>
    <mergeCell ref="E56:G56"/>
    <mergeCell ref="E57:G57"/>
    <mergeCell ref="E58:G58"/>
    <mergeCell ref="E59:G59"/>
    <mergeCell ref="E60:G60"/>
    <mergeCell ref="E61:G61"/>
    <mergeCell ref="E38:G38"/>
    <mergeCell ref="E39:G39"/>
    <mergeCell ref="E40:G40"/>
    <mergeCell ref="E41:G41"/>
    <mergeCell ref="E42:G42"/>
    <mergeCell ref="E43:G43"/>
    <mergeCell ref="E62:G62"/>
    <mergeCell ref="E63:G63"/>
    <mergeCell ref="E64:G64"/>
    <mergeCell ref="E50:G50"/>
    <mergeCell ref="E51:G51"/>
    <mergeCell ref="E52:G52"/>
    <mergeCell ref="E53:G53"/>
    <mergeCell ref="E54:G54"/>
    <mergeCell ref="E55:G55"/>
    <mergeCell ref="E44:G44"/>
    <mergeCell ref="E45:G45"/>
    <mergeCell ref="E46:G46"/>
    <mergeCell ref="E47:G47"/>
    <mergeCell ref="E48:G48"/>
    <mergeCell ref="E49:G49"/>
    <mergeCell ref="E32:G32"/>
    <mergeCell ref="E33:G33"/>
    <mergeCell ref="E34:G34"/>
    <mergeCell ref="E36:G36"/>
    <mergeCell ref="E37:G37"/>
    <mergeCell ref="M27:N27"/>
    <mergeCell ref="E29:G29"/>
    <mergeCell ref="E30:G30"/>
    <mergeCell ref="E31:G31"/>
    <mergeCell ref="C28:G28"/>
    <mergeCell ref="K28:N28"/>
    <mergeCell ref="E21:G21"/>
    <mergeCell ref="M21:N21"/>
    <mergeCell ref="E18:G18"/>
    <mergeCell ref="M18:N18"/>
    <mergeCell ref="E19:G19"/>
    <mergeCell ref="M19:N19"/>
    <mergeCell ref="E20:G20"/>
    <mergeCell ref="M20:N20"/>
    <mergeCell ref="E17:G17"/>
    <mergeCell ref="M17:N17"/>
    <mergeCell ref="E24:G24"/>
    <mergeCell ref="M24:N24"/>
    <mergeCell ref="E25:G25"/>
    <mergeCell ref="M25:N25"/>
    <mergeCell ref="M26:N26"/>
    <mergeCell ref="E22:G22"/>
    <mergeCell ref="M22:N22"/>
    <mergeCell ref="E23:G23"/>
    <mergeCell ref="M23:N23"/>
    <mergeCell ref="C26:G27"/>
    <mergeCell ref="H26:H27"/>
    <mergeCell ref="I26:I27"/>
    <mergeCell ref="E9:G9"/>
    <mergeCell ref="M9:N9"/>
    <mergeCell ref="E10:G10"/>
    <mergeCell ref="M10:N10"/>
    <mergeCell ref="E11:G11"/>
    <mergeCell ref="M11:N11"/>
    <mergeCell ref="E15:G15"/>
    <mergeCell ref="M15:N15"/>
    <mergeCell ref="E16:G16"/>
    <mergeCell ref="M16:N16"/>
    <mergeCell ref="E12:G12"/>
    <mergeCell ref="M12:N12"/>
    <mergeCell ref="E13:G13"/>
    <mergeCell ref="M13:N13"/>
    <mergeCell ref="E14:G14"/>
    <mergeCell ref="M14:N14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F8C8414-A120-481F-AA6E-A08C1F605D4A}">
          <x14:formula1>
            <xm:f>'C:\Users\Asus\Desktop\Declaraciones de Renta 2019\[Nuevo Formulario 210 Patrimonio.xlsx]Tipos'!#REF!</xm:f>
          </x14:formula1>
          <xm:sqref>C29:D29</xm:sqref>
        </x14:dataValidation>
        <x14:dataValidation type="list" allowBlank="1" showInputMessage="1" showErrorMessage="1" xr:uid="{93B5FD01-E5F1-4C71-A541-45E28FC6E9E1}">
          <x14:formula1>
            <xm:f>Tipos!$A$2:$A$14</xm:f>
          </x14:formula1>
          <xm:sqref>C10:C12 C15:C25</xm:sqref>
        </x14:dataValidation>
        <x14:dataValidation type="list" allowBlank="1" showInputMessage="1" showErrorMessage="1" xr:uid="{02D568C3-BB9B-42BF-B6FB-C0D0D8E7C703}">
          <x14:formula1>
            <xm:f>Tipos!$B$2:$B$7</xm:f>
          </x14:formula1>
          <xm:sqref>K10:K27</xm:sqref>
        </x14:dataValidation>
        <x14:dataValidation type="list" allowBlank="1" showInputMessage="1" showErrorMessage="1" xr:uid="{770281A6-1D1A-491A-8978-AF7D20D83160}">
          <x14:formula1>
            <xm:f>Tipos!$M$2:$M$3</xm:f>
          </x14:formula1>
          <xm:sqref>I26:I27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448C2-8038-4918-9007-60DAC598A40A}">
  <sheetPr codeName="Hoja6"/>
  <dimension ref="A1:J29"/>
  <sheetViews>
    <sheetView showGridLines="0" zoomScale="90" zoomScaleNormal="90" workbookViewId="0">
      <selection activeCell="I24" sqref="I24"/>
    </sheetView>
  </sheetViews>
  <sheetFormatPr baseColWidth="10" defaultColWidth="11.06640625" defaultRowHeight="14.25" x14ac:dyDescent="0.45"/>
  <cols>
    <col min="1" max="1" width="11.06640625" style="289"/>
    <col min="2" max="2" width="55" style="289" bestFit="1" customWidth="1"/>
    <col min="3" max="3" width="34.265625" style="289" bestFit="1" customWidth="1"/>
    <col min="4" max="4" width="63.46484375" style="289" customWidth="1"/>
    <col min="5" max="5" width="27" style="289" customWidth="1"/>
    <col min="6" max="16384" width="11.06640625" style="289"/>
  </cols>
  <sheetData>
    <row r="1" spans="1:10" x14ac:dyDescent="0.45">
      <c r="A1" s="114"/>
      <c r="B1" s="114"/>
      <c r="C1" s="114"/>
      <c r="D1" s="114"/>
      <c r="E1" s="114"/>
      <c r="F1" s="114"/>
    </row>
    <row r="2" spans="1:10" x14ac:dyDescent="0.45">
      <c r="A2" s="114"/>
      <c r="B2" s="114"/>
      <c r="C2" s="114"/>
      <c r="D2" s="114"/>
      <c r="E2" s="114"/>
      <c r="F2" s="114"/>
    </row>
    <row r="3" spans="1:10" x14ac:dyDescent="0.45">
      <c r="A3" s="114"/>
      <c r="B3" s="114"/>
      <c r="C3" s="114"/>
      <c r="D3" s="114"/>
      <c r="E3" s="114"/>
      <c r="F3" s="114"/>
    </row>
    <row r="4" spans="1:10" x14ac:dyDescent="0.45">
      <c r="A4" s="114"/>
      <c r="B4" s="114"/>
      <c r="C4" s="114"/>
      <c r="D4" s="114"/>
      <c r="E4" s="114"/>
      <c r="F4" s="114"/>
    </row>
    <row r="5" spans="1:10" x14ac:dyDescent="0.45">
      <c r="A5" s="114"/>
      <c r="B5" s="114"/>
      <c r="C5" s="114"/>
      <c r="D5" s="114"/>
      <c r="E5" s="114"/>
      <c r="F5" s="114"/>
      <c r="G5" s="863"/>
      <c r="H5" s="863"/>
      <c r="I5" s="863"/>
      <c r="J5" s="863"/>
    </row>
    <row r="6" spans="1:10" x14ac:dyDescent="0.45">
      <c r="A6" s="114"/>
      <c r="B6" s="114"/>
      <c r="C6" s="114"/>
      <c r="D6" s="114"/>
      <c r="E6" s="114"/>
      <c r="F6" s="114"/>
      <c r="G6" s="863"/>
      <c r="H6" s="863"/>
      <c r="I6" s="863"/>
      <c r="J6" s="863"/>
    </row>
    <row r="7" spans="1:10" x14ac:dyDescent="0.45">
      <c r="A7" s="114"/>
      <c r="B7" s="114"/>
      <c r="C7" s="114"/>
      <c r="D7" s="114"/>
      <c r="E7" s="114"/>
      <c r="F7" s="114"/>
      <c r="G7" s="863"/>
      <c r="H7" s="863"/>
      <c r="I7" s="863"/>
      <c r="J7" s="863"/>
    </row>
    <row r="8" spans="1:10" x14ac:dyDescent="0.45">
      <c r="A8" s="114"/>
      <c r="B8" s="114"/>
      <c r="C8" s="114"/>
      <c r="D8" s="114"/>
      <c r="E8" s="114"/>
      <c r="F8" s="114"/>
    </row>
    <row r="9" spans="1:10" x14ac:dyDescent="0.45">
      <c r="A9" s="114"/>
      <c r="B9" s="117" t="s">
        <v>132</v>
      </c>
      <c r="C9" s="117" t="s">
        <v>126</v>
      </c>
      <c r="D9" s="117" t="s">
        <v>133</v>
      </c>
      <c r="E9" s="117" t="s">
        <v>134</v>
      </c>
      <c r="F9" s="114"/>
    </row>
    <row r="10" spans="1:10" x14ac:dyDescent="0.45">
      <c r="A10" s="114"/>
      <c r="B10" s="125"/>
      <c r="C10" s="130" t="str">
        <f>IFERROR(+VLOOKUP(B10,Tipos!$H$2:$I$5,2,0)," ")</f>
        <v xml:space="preserve"> </v>
      </c>
      <c r="D10" s="126"/>
      <c r="E10" s="118"/>
      <c r="F10" s="114"/>
    </row>
    <row r="11" spans="1:10" x14ac:dyDescent="0.45">
      <c r="A11" s="114"/>
      <c r="B11" s="125"/>
      <c r="C11" s="130" t="str">
        <f>IFERROR(+VLOOKUP(B11,Tipos!$H$2:$I$5,2,0)," ")</f>
        <v xml:space="preserve"> </v>
      </c>
      <c r="D11" s="127"/>
      <c r="E11" s="118"/>
      <c r="F11" s="114"/>
    </row>
    <row r="12" spans="1:10" x14ac:dyDescent="0.45">
      <c r="A12" s="114"/>
      <c r="B12" s="125"/>
      <c r="C12" s="130" t="str">
        <f>IFERROR(+VLOOKUP(B12,Tipos!$H$2:$I$5,2,0)," ")</f>
        <v xml:space="preserve"> </v>
      </c>
      <c r="D12" s="127"/>
      <c r="E12" s="118"/>
      <c r="F12" s="114"/>
    </row>
    <row r="13" spans="1:10" x14ac:dyDescent="0.45">
      <c r="A13" s="114"/>
      <c r="B13" s="125"/>
      <c r="C13" s="130" t="str">
        <f>IFERROR(+VLOOKUP(B13,Tipos!$H$2:$I$5,2,0)," ")</f>
        <v xml:space="preserve"> </v>
      </c>
      <c r="D13" s="127"/>
      <c r="E13" s="118"/>
      <c r="F13" s="114"/>
    </row>
    <row r="14" spans="1:10" x14ac:dyDescent="0.45">
      <c r="A14" s="114"/>
      <c r="B14" s="125"/>
      <c r="C14" s="130" t="str">
        <f>IFERROR(+VLOOKUP(B14,Tipos!$H$2:$I$5,2,0)," ")</f>
        <v xml:space="preserve"> </v>
      </c>
      <c r="D14" s="127"/>
      <c r="E14" s="118"/>
      <c r="F14" s="114"/>
    </row>
    <row r="15" spans="1:10" x14ac:dyDescent="0.45">
      <c r="A15" s="114"/>
      <c r="B15" s="125"/>
      <c r="C15" s="130" t="str">
        <f>IFERROR(+VLOOKUP(B15,Tipos!H7:I11,2,0)," ")</f>
        <v xml:space="preserve"> </v>
      </c>
      <c r="D15" s="127"/>
      <c r="E15" s="118"/>
      <c r="F15" s="114"/>
    </row>
    <row r="16" spans="1:10" x14ac:dyDescent="0.45">
      <c r="A16" s="114"/>
      <c r="B16" s="125"/>
      <c r="C16" s="130" t="str">
        <f>IFERROR(+VLOOKUP(B16,Tipos!H9:I12,2,0)," ")</f>
        <v xml:space="preserve"> </v>
      </c>
      <c r="D16" s="127"/>
      <c r="E16" s="118"/>
      <c r="F16" s="114"/>
    </row>
    <row r="17" spans="1:6" x14ac:dyDescent="0.45">
      <c r="A17" s="114"/>
      <c r="B17" s="125"/>
      <c r="C17" s="130" t="str">
        <f>IFERROR(+VLOOKUP(B17,Tipos!H10:I13,2,0)," ")</f>
        <v xml:space="preserve"> </v>
      </c>
      <c r="D17" s="127"/>
      <c r="E17" s="118"/>
      <c r="F17" s="114"/>
    </row>
    <row r="18" spans="1:6" x14ac:dyDescent="0.45">
      <c r="A18" s="114"/>
      <c r="B18" s="125"/>
      <c r="C18" s="130" t="str">
        <f>IFERROR(+VLOOKUP(B18,Tipos!H11:I14,2,0)," ")</f>
        <v xml:space="preserve"> </v>
      </c>
      <c r="D18" s="127"/>
      <c r="E18" s="118"/>
      <c r="F18" s="114"/>
    </row>
    <row r="19" spans="1:6" x14ac:dyDescent="0.45">
      <c r="A19" s="114"/>
      <c r="B19" s="125"/>
      <c r="C19" s="130" t="str">
        <f>IFERROR(+VLOOKUP(B19,Tipos!H12:I15,2,0)," ")</f>
        <v xml:space="preserve"> </v>
      </c>
      <c r="D19" s="127"/>
      <c r="E19" s="118"/>
      <c r="F19" s="114"/>
    </row>
    <row r="20" spans="1:6" x14ac:dyDescent="0.45">
      <c r="A20" s="114"/>
      <c r="B20" s="125"/>
      <c r="C20" s="130" t="str">
        <f>IFERROR(+VLOOKUP(B20,Tipos!H13:I16,2,0)," ")</f>
        <v xml:space="preserve"> </v>
      </c>
      <c r="D20" s="127"/>
      <c r="E20" s="118"/>
      <c r="F20" s="114"/>
    </row>
    <row r="21" spans="1:6" x14ac:dyDescent="0.45">
      <c r="A21" s="114"/>
      <c r="B21" s="124"/>
      <c r="C21" s="124"/>
      <c r="D21" s="124"/>
      <c r="E21" s="124"/>
      <c r="F21" s="114"/>
    </row>
    <row r="22" spans="1:6" x14ac:dyDescent="0.45">
      <c r="A22" s="114"/>
      <c r="B22" s="114"/>
      <c r="C22" s="114"/>
      <c r="D22" s="114"/>
      <c r="E22" s="114"/>
      <c r="F22" s="114"/>
    </row>
    <row r="23" spans="1:6" ht="17.25" x14ac:dyDescent="0.45">
      <c r="A23" s="114"/>
      <c r="B23" s="114"/>
      <c r="C23" s="114"/>
      <c r="D23" s="114"/>
      <c r="E23" s="128"/>
      <c r="F23" s="114"/>
    </row>
    <row r="24" spans="1:6" x14ac:dyDescent="0.45">
      <c r="A24" s="114"/>
      <c r="B24" s="114"/>
      <c r="C24" s="114"/>
      <c r="D24" s="114"/>
      <c r="E24" s="114"/>
      <c r="F24" s="114"/>
    </row>
    <row r="25" spans="1:6" x14ac:dyDescent="0.45">
      <c r="A25" s="114"/>
      <c r="B25" s="114"/>
      <c r="C25" s="114"/>
      <c r="D25" s="114"/>
      <c r="E25" s="114"/>
      <c r="F25" s="114"/>
    </row>
    <row r="26" spans="1:6" x14ac:dyDescent="0.45">
      <c r="A26" s="114"/>
      <c r="B26" s="114"/>
      <c r="C26" s="114"/>
      <c r="D26" s="114"/>
      <c r="E26" s="114"/>
      <c r="F26" s="114"/>
    </row>
    <row r="27" spans="1:6" x14ac:dyDescent="0.45">
      <c r="A27" s="114"/>
      <c r="B27" s="114"/>
      <c r="C27" s="114"/>
      <c r="D27" s="114"/>
      <c r="E27" s="114"/>
      <c r="F27" s="114"/>
    </row>
    <row r="28" spans="1:6" ht="17.25" x14ac:dyDescent="0.45">
      <c r="A28" s="114"/>
      <c r="B28" s="114"/>
      <c r="C28" s="129"/>
      <c r="D28" s="128"/>
      <c r="E28" s="114"/>
      <c r="F28" s="114"/>
    </row>
    <row r="29" spans="1:6" x14ac:dyDescent="0.45">
      <c r="A29" s="114"/>
      <c r="B29" s="114"/>
      <c r="C29" s="114"/>
      <c r="D29" s="114"/>
      <c r="E29" s="114"/>
      <c r="F29" s="114"/>
    </row>
  </sheetData>
  <mergeCells count="1">
    <mergeCell ref="G5:J7"/>
  </mergeCells>
  <phoneticPr fontId="2" type="noConversion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9076007-AB66-4790-98AD-6D95628D11C1}">
          <x14:formula1>
            <xm:f>Tipos!$H$2:$H$5</xm:f>
          </x14:formula1>
          <xm:sqref>D10:D20 B10:B20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4EFD4-EED6-472F-922B-A8659D024CBB}">
  <sheetPr codeName="Hoja7"/>
  <dimension ref="A1:R32"/>
  <sheetViews>
    <sheetView showGridLines="0" zoomScale="82" zoomScaleNormal="98" workbookViewId="0">
      <selection activeCell="J39" sqref="J39"/>
    </sheetView>
  </sheetViews>
  <sheetFormatPr baseColWidth="10" defaultColWidth="11.06640625" defaultRowHeight="14.25" x14ac:dyDescent="0.45"/>
  <cols>
    <col min="1" max="2" width="11.06640625" style="289"/>
    <col min="3" max="4" width="26.265625" style="289" customWidth="1"/>
    <col min="5" max="5" width="11.06640625" style="289"/>
    <col min="6" max="8" width="9.53125" style="289" customWidth="1"/>
    <col min="9" max="10" width="11.06640625" style="289"/>
    <col min="11" max="11" width="19.265625" style="289" customWidth="1"/>
    <col min="12" max="12" width="5.46484375" style="289" customWidth="1"/>
    <col min="13" max="16384" width="11.06640625" style="289"/>
  </cols>
  <sheetData>
    <row r="1" spans="1:18" x14ac:dyDescent="0.45">
      <c r="A1" s="114"/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</row>
    <row r="2" spans="1:18" x14ac:dyDescent="0.45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spans="1:18" x14ac:dyDescent="0.45">
      <c r="A3" s="114"/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 spans="1:18" ht="14.65" thickBot="1" x14ac:dyDescent="0.5">
      <c r="A4" s="114"/>
      <c r="B4" s="114"/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14"/>
      <c r="O4" s="114"/>
      <c r="P4" s="114"/>
      <c r="Q4" s="114"/>
      <c r="R4" s="114"/>
    </row>
    <row r="5" spans="1:18" ht="14.45" customHeight="1" x14ac:dyDescent="0.45">
      <c r="A5" s="114"/>
      <c r="B5" s="114"/>
      <c r="C5" s="114"/>
      <c r="D5" s="114"/>
      <c r="E5" s="114"/>
      <c r="F5" s="114"/>
      <c r="G5" s="114"/>
      <c r="H5" s="114"/>
      <c r="I5" s="114"/>
      <c r="J5" s="114"/>
      <c r="K5" s="114"/>
      <c r="L5" s="114"/>
      <c r="M5" s="114"/>
      <c r="N5" s="865" t="s">
        <v>153</v>
      </c>
      <c r="O5" s="866"/>
      <c r="P5" s="866"/>
      <c r="Q5" s="867"/>
      <c r="R5" s="114"/>
    </row>
    <row r="6" spans="1:18" ht="14.45" customHeight="1" x14ac:dyDescent="0.45">
      <c r="A6" s="114"/>
      <c r="B6" s="114"/>
      <c r="C6" s="114"/>
      <c r="D6" s="114"/>
      <c r="E6" s="114"/>
      <c r="F6" s="114"/>
      <c r="G6" s="114"/>
      <c r="H6" s="114"/>
      <c r="I6" s="114"/>
      <c r="J6" s="114"/>
      <c r="K6" s="114"/>
      <c r="L6" s="114"/>
      <c r="M6" s="114"/>
      <c r="N6" s="868"/>
      <c r="O6" s="869"/>
      <c r="P6" s="869"/>
      <c r="Q6" s="870"/>
      <c r="R6" s="114"/>
    </row>
    <row r="7" spans="1:18" ht="14.45" customHeight="1" thickBot="1" x14ac:dyDescent="0.5">
      <c r="A7" s="114"/>
      <c r="B7" s="114"/>
      <c r="C7" s="114"/>
      <c r="D7" s="114"/>
      <c r="E7" s="114"/>
      <c r="F7" s="114"/>
      <c r="G7" s="114"/>
      <c r="H7" s="114"/>
      <c r="I7" s="114"/>
      <c r="J7" s="114"/>
      <c r="K7" s="114"/>
      <c r="L7" s="114"/>
      <c r="M7" s="114"/>
      <c r="N7" s="871"/>
      <c r="O7" s="872"/>
      <c r="P7" s="872"/>
      <c r="Q7" s="873"/>
      <c r="R7" s="114"/>
    </row>
    <row r="8" spans="1:18" x14ac:dyDescent="0.45">
      <c r="A8" s="114"/>
      <c r="B8" s="114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14"/>
      <c r="N8" s="115"/>
      <c r="O8" s="114"/>
      <c r="P8" s="114"/>
      <c r="Q8" s="116"/>
      <c r="R8" s="114"/>
    </row>
    <row r="9" spans="1:18" x14ac:dyDescent="0.45">
      <c r="A9" s="114"/>
      <c r="B9" s="318" t="s">
        <v>132</v>
      </c>
      <c r="C9" s="318"/>
      <c r="D9" s="117" t="s">
        <v>201</v>
      </c>
      <c r="E9" s="318" t="s">
        <v>133</v>
      </c>
      <c r="F9" s="318"/>
      <c r="G9" s="318"/>
      <c r="H9" s="318"/>
      <c r="I9" s="318"/>
      <c r="J9" s="318"/>
      <c r="K9" s="318" t="s">
        <v>134</v>
      </c>
      <c r="L9" s="318"/>
      <c r="M9" s="114"/>
      <c r="N9" s="115"/>
      <c r="O9" s="114"/>
      <c r="P9" s="114"/>
      <c r="Q9" s="116"/>
      <c r="R9" s="114"/>
    </row>
    <row r="10" spans="1:18" x14ac:dyDescent="0.45">
      <c r="A10" s="114"/>
      <c r="B10" s="299"/>
      <c r="C10" s="299"/>
      <c r="D10" s="113" t="str">
        <f>IFERROR(+VLOOKUP(B10,Tipos!$J$2:$K$19,2,0)," ")</f>
        <v xml:space="preserve"> </v>
      </c>
      <c r="E10" s="299"/>
      <c r="F10" s="299"/>
      <c r="G10" s="299"/>
      <c r="H10" s="299"/>
      <c r="I10" s="299"/>
      <c r="J10" s="299"/>
      <c r="K10" s="330"/>
      <c r="L10" s="330"/>
      <c r="M10" s="114"/>
      <c r="N10" s="115"/>
      <c r="O10" s="114"/>
      <c r="P10" s="114"/>
      <c r="Q10" s="116"/>
      <c r="R10" s="114"/>
    </row>
    <row r="11" spans="1:18" x14ac:dyDescent="0.45">
      <c r="A11" s="114"/>
      <c r="B11" s="299"/>
      <c r="C11" s="299"/>
      <c r="D11" s="113" t="str">
        <f>IFERROR(+VLOOKUP(B11,Tipos!$J$2:$K$19,2,0)," ")</f>
        <v xml:space="preserve"> </v>
      </c>
      <c r="E11" s="299"/>
      <c r="F11" s="299"/>
      <c r="G11" s="299"/>
      <c r="H11" s="299"/>
      <c r="I11" s="299"/>
      <c r="J11" s="299"/>
      <c r="K11" s="330"/>
      <c r="L11" s="330"/>
      <c r="M11" s="114"/>
      <c r="N11" s="115"/>
      <c r="O11" s="114"/>
      <c r="P11" s="114"/>
      <c r="Q11" s="116"/>
      <c r="R11" s="114"/>
    </row>
    <row r="12" spans="1:18" x14ac:dyDescent="0.45">
      <c r="A12" s="114"/>
      <c r="B12" s="299"/>
      <c r="C12" s="299"/>
      <c r="D12" s="113" t="str">
        <f>IFERROR(+VLOOKUP(B12,Tipos!$J$2:$K$19,2,0)," ")</f>
        <v xml:space="preserve"> </v>
      </c>
      <c r="E12" s="299"/>
      <c r="F12" s="299"/>
      <c r="G12" s="299"/>
      <c r="H12" s="299"/>
      <c r="I12" s="299"/>
      <c r="J12" s="299"/>
      <c r="K12" s="330"/>
      <c r="L12" s="330"/>
      <c r="M12" s="114"/>
      <c r="N12" s="115"/>
      <c r="O12" s="114"/>
      <c r="P12" s="114"/>
      <c r="Q12" s="116"/>
      <c r="R12" s="114"/>
    </row>
    <row r="13" spans="1:18" x14ac:dyDescent="0.45">
      <c r="A13" s="114"/>
      <c r="B13" s="299"/>
      <c r="C13" s="299"/>
      <c r="D13" s="113" t="str">
        <f>IFERROR(+VLOOKUP(B13,Tipos!$J$2:$K$19,2,0)," ")</f>
        <v xml:space="preserve"> </v>
      </c>
      <c r="E13" s="299"/>
      <c r="F13" s="299"/>
      <c r="G13" s="299"/>
      <c r="H13" s="299"/>
      <c r="I13" s="299"/>
      <c r="J13" s="299"/>
      <c r="K13" s="330"/>
      <c r="L13" s="330"/>
      <c r="M13" s="114"/>
      <c r="N13" s="115"/>
      <c r="O13" s="114"/>
      <c r="P13" s="114"/>
      <c r="Q13" s="116"/>
      <c r="R13" s="114"/>
    </row>
    <row r="14" spans="1:18" x14ac:dyDescent="0.45">
      <c r="A14" s="114"/>
      <c r="B14" s="299"/>
      <c r="C14" s="299"/>
      <c r="D14" s="113" t="str">
        <f>IFERROR(+VLOOKUP(B14,Tipos!$J$2:$K$19,2,0)," ")</f>
        <v xml:space="preserve"> </v>
      </c>
      <c r="E14" s="299"/>
      <c r="F14" s="299"/>
      <c r="G14" s="299"/>
      <c r="H14" s="299"/>
      <c r="I14" s="299"/>
      <c r="J14" s="299"/>
      <c r="K14" s="330"/>
      <c r="L14" s="330"/>
      <c r="M14" s="114"/>
      <c r="N14" s="115"/>
      <c r="O14" s="114"/>
      <c r="P14" s="114"/>
      <c r="Q14" s="116"/>
      <c r="R14" s="114"/>
    </row>
    <row r="15" spans="1:18" x14ac:dyDescent="0.45">
      <c r="A15" s="114"/>
      <c r="B15" s="299"/>
      <c r="C15" s="299"/>
      <c r="D15" s="113" t="str">
        <f>IFERROR(+VLOOKUP(B15,Tipos!$J$2:$K$19,2,0)," ")</f>
        <v xml:space="preserve"> </v>
      </c>
      <c r="E15" s="299"/>
      <c r="F15" s="299"/>
      <c r="G15" s="299"/>
      <c r="H15" s="299"/>
      <c r="I15" s="299"/>
      <c r="J15" s="299"/>
      <c r="K15" s="330"/>
      <c r="L15" s="330"/>
      <c r="M15" s="114"/>
      <c r="N15" s="115"/>
      <c r="O15" s="114"/>
      <c r="P15" s="114"/>
      <c r="Q15" s="116"/>
      <c r="R15" s="114"/>
    </row>
    <row r="16" spans="1:18" x14ac:dyDescent="0.45">
      <c r="A16" s="114"/>
      <c r="B16" s="299"/>
      <c r="C16" s="299"/>
      <c r="D16" s="113" t="str">
        <f>IFERROR(+VLOOKUP(B16,Tipos!$J$2:$K$19,2,0)," ")</f>
        <v xml:space="preserve"> </v>
      </c>
      <c r="E16" s="299"/>
      <c r="F16" s="299"/>
      <c r="G16" s="299"/>
      <c r="H16" s="299"/>
      <c r="I16" s="299"/>
      <c r="J16" s="299"/>
      <c r="K16" s="330"/>
      <c r="L16" s="330"/>
      <c r="M16" s="114"/>
      <c r="N16" s="115"/>
      <c r="O16" s="114"/>
      <c r="P16" s="114"/>
      <c r="Q16" s="116"/>
      <c r="R16" s="114"/>
    </row>
    <row r="17" spans="1:18" x14ac:dyDescent="0.45">
      <c r="A17" s="114"/>
      <c r="B17" s="299"/>
      <c r="C17" s="299"/>
      <c r="D17" s="113" t="str">
        <f>IFERROR(+VLOOKUP(B17,Tipos!$J$2:$K$19,2,0)," ")</f>
        <v xml:space="preserve"> </v>
      </c>
      <c r="E17" s="299"/>
      <c r="F17" s="299"/>
      <c r="G17" s="299"/>
      <c r="H17" s="299"/>
      <c r="I17" s="299"/>
      <c r="J17" s="299"/>
      <c r="K17" s="330"/>
      <c r="L17" s="330"/>
      <c r="M17" s="114"/>
      <c r="N17" s="115"/>
      <c r="O17" s="114"/>
      <c r="P17" s="114"/>
      <c r="Q17" s="116"/>
      <c r="R17" s="114"/>
    </row>
    <row r="18" spans="1:18" x14ac:dyDescent="0.45">
      <c r="A18" s="114"/>
      <c r="B18" s="299"/>
      <c r="C18" s="299"/>
      <c r="D18" s="113" t="str">
        <f>IFERROR(+VLOOKUP(B18,Tipos!$J$2:$K$19,2,0)," ")</f>
        <v xml:space="preserve"> </v>
      </c>
      <c r="E18" s="299"/>
      <c r="F18" s="299"/>
      <c r="G18" s="299"/>
      <c r="H18" s="299"/>
      <c r="I18" s="299"/>
      <c r="J18" s="299"/>
      <c r="K18" s="330"/>
      <c r="L18" s="330"/>
      <c r="M18" s="114"/>
      <c r="N18" s="115"/>
      <c r="O18" s="114"/>
      <c r="P18" s="114"/>
      <c r="Q18" s="116"/>
      <c r="R18" s="114"/>
    </row>
    <row r="19" spans="1:18" ht="14.65" thickBot="1" x14ac:dyDescent="0.5">
      <c r="A19" s="114"/>
      <c r="B19" s="299"/>
      <c r="C19" s="299"/>
      <c r="D19" s="113" t="str">
        <f>IFERROR(+VLOOKUP(B19,Tipos!$J$2:$K$19,2,0)," ")</f>
        <v xml:space="preserve"> </v>
      </c>
      <c r="E19" s="299"/>
      <c r="F19" s="299"/>
      <c r="G19" s="299"/>
      <c r="H19" s="299"/>
      <c r="I19" s="299"/>
      <c r="J19" s="299"/>
      <c r="K19" s="330"/>
      <c r="L19" s="330"/>
      <c r="M19" s="114"/>
      <c r="N19" s="120"/>
      <c r="O19" s="121"/>
      <c r="P19" s="121"/>
      <c r="Q19" s="122"/>
      <c r="R19" s="114"/>
    </row>
    <row r="20" spans="1:18" x14ac:dyDescent="0.45">
      <c r="A20" s="114"/>
      <c r="B20" s="299"/>
      <c r="C20" s="299"/>
      <c r="D20" s="113" t="str">
        <f>IFERROR(+VLOOKUP(B20,Tipos!$J$2:$K$19,2,0)," ")</f>
        <v xml:space="preserve"> </v>
      </c>
      <c r="E20" s="299"/>
      <c r="F20" s="299"/>
      <c r="G20" s="299"/>
      <c r="H20" s="299"/>
      <c r="I20" s="299"/>
      <c r="J20" s="299"/>
      <c r="K20" s="330"/>
      <c r="L20" s="330"/>
      <c r="M20" s="114"/>
      <c r="N20" s="114"/>
      <c r="O20" s="114"/>
      <c r="P20" s="114"/>
      <c r="Q20" s="114"/>
      <c r="R20" s="114"/>
    </row>
    <row r="21" spans="1:18" x14ac:dyDescent="0.45">
      <c r="A21" s="114"/>
      <c r="B21" s="557"/>
      <c r="C21" s="557"/>
      <c r="D21" s="557"/>
      <c r="E21" s="557"/>
      <c r="F21" s="557"/>
      <c r="G21" s="557"/>
      <c r="H21" s="557"/>
      <c r="I21" s="557"/>
      <c r="J21" s="557"/>
      <c r="K21" s="564"/>
      <c r="L21" s="564"/>
      <c r="M21" s="114"/>
      <c r="N21" s="114"/>
      <c r="O21" s="114"/>
      <c r="P21" s="114"/>
      <c r="Q21" s="114"/>
      <c r="R21" s="114"/>
    </row>
    <row r="22" spans="1:18" x14ac:dyDescent="0.45">
      <c r="A22" s="114"/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</row>
    <row r="23" spans="1:18" ht="17.25" x14ac:dyDescent="0.45">
      <c r="A23" s="114"/>
      <c r="B23" s="114"/>
      <c r="C23" s="114"/>
      <c r="D23" s="114"/>
      <c r="E23" s="114"/>
      <c r="F23" s="114"/>
      <c r="G23" s="114"/>
      <c r="H23" s="114"/>
      <c r="I23" s="300"/>
      <c r="J23" s="300"/>
      <c r="K23" s="300"/>
      <c r="L23" s="114"/>
      <c r="M23" s="114"/>
      <c r="N23" s="114"/>
      <c r="O23" s="114"/>
      <c r="P23" s="114"/>
      <c r="Q23" s="114"/>
      <c r="R23" s="114"/>
    </row>
    <row r="24" spans="1:18" x14ac:dyDescent="0.45">
      <c r="A24" s="114"/>
      <c r="B24" s="114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</row>
    <row r="25" spans="1:18" x14ac:dyDescent="0.45">
      <c r="A25" s="114"/>
      <c r="B25" s="114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</row>
    <row r="26" spans="1:18" x14ac:dyDescent="0.45">
      <c r="A26" s="114"/>
      <c r="B26" s="114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/>
    </row>
    <row r="27" spans="1:18" x14ac:dyDescent="0.45">
      <c r="A27" s="114"/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</row>
    <row r="28" spans="1:18" ht="17.25" x14ac:dyDescent="0.45">
      <c r="A28" s="114"/>
      <c r="B28" s="300"/>
      <c r="C28" s="300"/>
      <c r="D28" s="300"/>
      <c r="E28" s="300"/>
      <c r="F28" s="114"/>
      <c r="G28" s="300"/>
      <c r="H28" s="300"/>
      <c r="I28" s="114"/>
      <c r="J28" s="129"/>
      <c r="K28" s="129"/>
      <c r="L28" s="114"/>
      <c r="M28" s="114"/>
      <c r="N28" s="114"/>
      <c r="O28" s="114"/>
      <c r="P28" s="114"/>
      <c r="Q28" s="114"/>
      <c r="R28" s="114"/>
    </row>
    <row r="29" spans="1:18" ht="17.25" x14ac:dyDescent="0.45">
      <c r="A29" s="114"/>
      <c r="B29" s="114"/>
      <c r="C29" s="129"/>
      <c r="D29" s="129"/>
      <c r="E29" s="129"/>
      <c r="F29" s="128"/>
      <c r="G29" s="300"/>
      <c r="H29" s="300"/>
      <c r="I29" s="128"/>
      <c r="J29" s="129"/>
      <c r="K29" s="129"/>
      <c r="L29" s="114"/>
      <c r="M29" s="114"/>
      <c r="N29" s="114"/>
      <c r="O29" s="114"/>
      <c r="P29" s="114"/>
      <c r="Q29" s="114"/>
      <c r="R29" s="114"/>
    </row>
    <row r="30" spans="1:18" x14ac:dyDescent="0.45">
      <c r="A30" s="114"/>
      <c r="B30" s="114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114"/>
    </row>
    <row r="31" spans="1:18" ht="17.25" x14ac:dyDescent="0.45">
      <c r="A31" s="114"/>
      <c r="B31" s="114"/>
      <c r="C31" s="114"/>
      <c r="D31" s="129"/>
      <c r="E31" s="129"/>
      <c r="F31" s="129"/>
      <c r="G31" s="114"/>
      <c r="H31" s="114"/>
      <c r="I31" s="300"/>
      <c r="J31" s="300"/>
      <c r="K31" s="300"/>
      <c r="L31" s="114"/>
      <c r="M31" s="114"/>
      <c r="N31" s="114"/>
      <c r="O31" s="114"/>
      <c r="P31" s="114"/>
      <c r="Q31" s="114"/>
      <c r="R31" s="114"/>
    </row>
    <row r="32" spans="1:18" ht="17.25" x14ac:dyDescent="0.45">
      <c r="D32" s="298"/>
      <c r="E32" s="298"/>
      <c r="F32" s="298"/>
      <c r="I32" s="864"/>
      <c r="J32" s="864"/>
      <c r="K32" s="864"/>
    </row>
  </sheetData>
  <mergeCells count="45">
    <mergeCell ref="N5:Q7"/>
    <mergeCell ref="B9:C9"/>
    <mergeCell ref="E9:J9"/>
    <mergeCell ref="K9:L9"/>
    <mergeCell ref="B10:C10"/>
    <mergeCell ref="E10:J10"/>
    <mergeCell ref="K10:L10"/>
    <mergeCell ref="B11:C11"/>
    <mergeCell ref="E11:J11"/>
    <mergeCell ref="K11:L11"/>
    <mergeCell ref="B12:C12"/>
    <mergeCell ref="E12:J12"/>
    <mergeCell ref="K12:L12"/>
    <mergeCell ref="B13:C13"/>
    <mergeCell ref="E13:J13"/>
    <mergeCell ref="K13:L13"/>
    <mergeCell ref="B14:C14"/>
    <mergeCell ref="E14:J14"/>
    <mergeCell ref="K14:L14"/>
    <mergeCell ref="B15:C15"/>
    <mergeCell ref="E15:J15"/>
    <mergeCell ref="K15:L15"/>
    <mergeCell ref="B16:C16"/>
    <mergeCell ref="E16:J16"/>
    <mergeCell ref="K16:L16"/>
    <mergeCell ref="B17:C17"/>
    <mergeCell ref="E17:J17"/>
    <mergeCell ref="K17:L17"/>
    <mergeCell ref="B18:C18"/>
    <mergeCell ref="E18:J18"/>
    <mergeCell ref="K18:L18"/>
    <mergeCell ref="K21:L21"/>
    <mergeCell ref="I23:K23"/>
    <mergeCell ref="B19:C19"/>
    <mergeCell ref="E19:J19"/>
    <mergeCell ref="K19:L19"/>
    <mergeCell ref="B20:C20"/>
    <mergeCell ref="E20:J20"/>
    <mergeCell ref="K20:L20"/>
    <mergeCell ref="B21:J21"/>
    <mergeCell ref="B28:E28"/>
    <mergeCell ref="I31:K31"/>
    <mergeCell ref="I32:K32"/>
    <mergeCell ref="G29:H29"/>
    <mergeCell ref="G28:H2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Check Box 2">
              <controlPr defaultSize="0" autoFill="0" autoLine="0" autoPict="0">
                <anchor moveWithCells="1">
                  <from>
                    <xdr:col>13</xdr:col>
                    <xdr:colOff>33338</xdr:colOff>
                    <xdr:row>8</xdr:row>
                    <xdr:rowOff>171450</xdr:rowOff>
                  </from>
                  <to>
                    <xdr:col>14</xdr:col>
                    <xdr:colOff>552450</xdr:colOff>
                    <xdr:row>10</xdr:row>
                    <xdr:rowOff>42863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Check Box 3">
              <controlPr defaultSize="0" autoFill="0" autoLine="0" autoPict="0">
                <anchor moveWithCells="1">
                  <from>
                    <xdr:col>13</xdr:col>
                    <xdr:colOff>42863</xdr:colOff>
                    <xdr:row>10</xdr:row>
                    <xdr:rowOff>171450</xdr:rowOff>
                  </from>
                  <to>
                    <xdr:col>14</xdr:col>
                    <xdr:colOff>571500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Check Box 4">
              <controlPr defaultSize="0" autoFill="0" autoLine="0" autoPict="0">
                <anchor moveWithCells="1">
                  <from>
                    <xdr:col>13</xdr:col>
                    <xdr:colOff>42863</xdr:colOff>
                    <xdr:row>13</xdr:row>
                    <xdr:rowOff>19050</xdr:rowOff>
                  </from>
                  <to>
                    <xdr:col>15</xdr:col>
                    <xdr:colOff>4763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Check Box 5">
              <controlPr defaultSize="0" autoFill="0" autoLine="0" autoPict="0">
                <anchor moveWithCells="1">
                  <from>
                    <xdr:col>13</xdr:col>
                    <xdr:colOff>42863</xdr:colOff>
                    <xdr:row>15</xdr:row>
                    <xdr:rowOff>33338</xdr:rowOff>
                  </from>
                  <to>
                    <xdr:col>15</xdr:col>
                    <xdr:colOff>19050</xdr:colOff>
                    <xdr:row>16</xdr:row>
                    <xdr:rowOff>109538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8" name="Check Box 10">
              <controlPr defaultSize="0" autoFill="0" autoLine="0" autoPict="0">
                <anchor moveWithCells="1">
                  <from>
                    <xdr:col>13</xdr:col>
                    <xdr:colOff>71438</xdr:colOff>
                    <xdr:row>17</xdr:row>
                    <xdr:rowOff>57150</xdr:rowOff>
                  </from>
                  <to>
                    <xdr:col>15</xdr:col>
                    <xdr:colOff>690563</xdr:colOff>
                    <xdr:row>18</xdr:row>
                    <xdr:rowOff>109538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2CE603-02FD-4234-8224-E08177E54532}">
          <x14:formula1>
            <xm:f>Tipos!$J$2:$J$19</xm:f>
          </x14:formula1>
          <xm:sqref>B10:C20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691E6-A75A-4BB4-9E84-25F889F65E4A}">
  <sheetPr codeName="Hoja4"/>
  <dimension ref="A1:P30"/>
  <sheetViews>
    <sheetView showGridLines="0" zoomScale="99" zoomScaleNormal="100" workbookViewId="0">
      <selection activeCell="L11" sqref="L11"/>
    </sheetView>
  </sheetViews>
  <sheetFormatPr baseColWidth="10" defaultColWidth="11.06640625" defaultRowHeight="14.25" x14ac:dyDescent="0.45"/>
  <cols>
    <col min="1" max="1" width="10.06640625" style="289" customWidth="1"/>
    <col min="2" max="4" width="11.06640625" style="289"/>
    <col min="5" max="5" width="8.73046875" style="289" customWidth="1"/>
    <col min="6" max="6" width="11.06640625" style="289"/>
    <col min="7" max="7" width="9.53125" style="289" customWidth="1"/>
    <col min="8" max="9" width="11.06640625" style="289"/>
    <col min="10" max="10" width="19.265625" style="289" customWidth="1"/>
    <col min="11" max="11" width="5.46484375" style="289" customWidth="1"/>
    <col min="12" max="16384" width="11.06640625" style="289"/>
  </cols>
  <sheetData>
    <row r="1" spans="1:16" x14ac:dyDescent="0.45">
      <c r="A1" s="114"/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</row>
    <row r="2" spans="1:16" x14ac:dyDescent="0.45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</row>
    <row r="3" spans="1:16" x14ac:dyDescent="0.45">
      <c r="A3" s="114"/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</row>
    <row r="4" spans="1:16" x14ac:dyDescent="0.45">
      <c r="A4" s="114"/>
      <c r="B4" s="114"/>
      <c r="C4" s="114"/>
      <c r="D4" s="114"/>
      <c r="E4" s="114"/>
      <c r="F4" s="114"/>
      <c r="G4" s="114"/>
      <c r="H4" s="114"/>
      <c r="I4" s="114"/>
      <c r="J4" s="114"/>
      <c r="K4" s="114"/>
      <c r="L4" s="114"/>
    </row>
    <row r="5" spans="1:16" x14ac:dyDescent="0.45">
      <c r="A5" s="114"/>
      <c r="B5" s="114"/>
      <c r="C5" s="114"/>
      <c r="D5" s="114"/>
      <c r="E5" s="114"/>
      <c r="F5" s="114"/>
      <c r="G5" s="114"/>
      <c r="H5" s="114"/>
      <c r="I5" s="114"/>
      <c r="J5" s="114"/>
      <c r="K5" s="114"/>
      <c r="L5" s="114"/>
      <c r="M5" s="863"/>
      <c r="N5" s="863"/>
      <c r="O5" s="863"/>
      <c r="P5" s="863"/>
    </row>
    <row r="6" spans="1:16" x14ac:dyDescent="0.45">
      <c r="A6" s="114"/>
      <c r="B6" s="114"/>
      <c r="C6" s="114"/>
      <c r="D6" s="114"/>
      <c r="E6" s="114"/>
      <c r="F6" s="114"/>
      <c r="G6" s="114"/>
      <c r="H6" s="114"/>
      <c r="I6" s="114"/>
      <c r="J6" s="114"/>
      <c r="K6" s="114"/>
      <c r="L6" s="114"/>
      <c r="M6" s="863"/>
      <c r="N6" s="863"/>
      <c r="O6" s="863"/>
      <c r="P6" s="863"/>
    </row>
    <row r="7" spans="1:16" x14ac:dyDescent="0.45">
      <c r="A7" s="114"/>
      <c r="B7" s="114"/>
      <c r="C7" s="114"/>
      <c r="D7" s="114"/>
      <c r="E7" s="114"/>
      <c r="F7" s="114"/>
      <c r="G7" s="114"/>
      <c r="H7" s="114"/>
      <c r="I7" s="114"/>
      <c r="J7" s="114"/>
      <c r="K7" s="114"/>
      <c r="L7" s="114"/>
      <c r="M7" s="863"/>
      <c r="N7" s="863"/>
      <c r="O7" s="863"/>
      <c r="P7" s="863"/>
    </row>
    <row r="8" spans="1:16" x14ac:dyDescent="0.45">
      <c r="A8" s="114"/>
      <c r="B8" s="114"/>
      <c r="C8" s="114"/>
      <c r="D8" s="114"/>
      <c r="E8" s="114"/>
      <c r="F8" s="114"/>
      <c r="G8" s="114"/>
      <c r="H8" s="114"/>
      <c r="I8" s="114"/>
      <c r="J8" s="114"/>
      <c r="K8" s="114"/>
      <c r="L8" s="114"/>
    </row>
    <row r="9" spans="1:16" x14ac:dyDescent="0.45">
      <c r="A9" s="114"/>
      <c r="B9" s="318" t="s">
        <v>132</v>
      </c>
      <c r="C9" s="318"/>
      <c r="D9" s="318" t="s">
        <v>126</v>
      </c>
      <c r="E9" s="318"/>
      <c r="F9" s="318" t="s">
        <v>133</v>
      </c>
      <c r="G9" s="318"/>
      <c r="H9" s="318"/>
      <c r="I9" s="318"/>
      <c r="J9" s="318" t="s">
        <v>134</v>
      </c>
      <c r="K9" s="318"/>
      <c r="L9" s="114"/>
    </row>
    <row r="10" spans="1:16" x14ac:dyDescent="0.45">
      <c r="A10" s="114"/>
      <c r="B10" s="299"/>
      <c r="C10" s="299"/>
      <c r="D10" s="874" t="str">
        <f>+IFERROR(VLOOKUP(B10,Tipos!F:G,2,0)," ")</f>
        <v xml:space="preserve"> </v>
      </c>
      <c r="E10" s="874"/>
      <c r="F10" s="299"/>
      <c r="G10" s="299"/>
      <c r="H10" s="299"/>
      <c r="I10" s="299"/>
      <c r="J10" s="330"/>
      <c r="K10" s="330"/>
      <c r="L10" s="114"/>
    </row>
    <row r="11" spans="1:16" x14ac:dyDescent="0.45">
      <c r="A11" s="114"/>
      <c r="B11" s="299"/>
      <c r="C11" s="299"/>
      <c r="D11" s="874" t="str">
        <f>+IFERROR(VLOOKUP(B11,Tipos!F:G,2,0)," ")</f>
        <v xml:space="preserve"> </v>
      </c>
      <c r="E11" s="874"/>
      <c r="F11" s="299"/>
      <c r="G11" s="299"/>
      <c r="H11" s="299"/>
      <c r="I11" s="299"/>
      <c r="J11" s="330"/>
      <c r="K11" s="330"/>
      <c r="L11" s="114"/>
    </row>
    <row r="12" spans="1:16" x14ac:dyDescent="0.45">
      <c r="A12" s="114"/>
      <c r="B12" s="299"/>
      <c r="C12" s="299"/>
      <c r="D12" s="874" t="str">
        <f>+IFERROR(VLOOKUP(B12,Tipos!F:G,2,0)," ")</f>
        <v xml:space="preserve"> </v>
      </c>
      <c r="E12" s="874"/>
      <c r="F12" s="299"/>
      <c r="G12" s="299"/>
      <c r="H12" s="299"/>
      <c r="I12" s="299"/>
      <c r="J12" s="330"/>
      <c r="K12" s="330"/>
      <c r="L12" s="114"/>
    </row>
    <row r="13" spans="1:16" x14ac:dyDescent="0.45">
      <c r="A13" s="114"/>
      <c r="B13" s="299"/>
      <c r="C13" s="299"/>
      <c r="D13" s="874" t="str">
        <f>+IFERROR(VLOOKUP(B13,Tipos!F:G,2,0)," ")</f>
        <v xml:space="preserve"> </v>
      </c>
      <c r="E13" s="874"/>
      <c r="F13" s="299"/>
      <c r="G13" s="299"/>
      <c r="H13" s="299"/>
      <c r="I13" s="299"/>
      <c r="J13" s="330"/>
      <c r="K13" s="330"/>
      <c r="L13" s="114"/>
    </row>
    <row r="14" spans="1:16" x14ac:dyDescent="0.45">
      <c r="A14" s="114"/>
      <c r="B14" s="299"/>
      <c r="C14" s="299"/>
      <c r="D14" s="874" t="str">
        <f>+IFERROR(VLOOKUP(B14,Tipos!F:G,2,0)," ")</f>
        <v xml:space="preserve"> </v>
      </c>
      <c r="E14" s="874"/>
      <c r="F14" s="299"/>
      <c r="G14" s="299"/>
      <c r="H14" s="299"/>
      <c r="I14" s="299"/>
      <c r="J14" s="330"/>
      <c r="K14" s="330"/>
      <c r="L14" s="114"/>
    </row>
    <row r="15" spans="1:16" x14ac:dyDescent="0.45">
      <c r="A15" s="114"/>
      <c r="B15" s="299"/>
      <c r="C15" s="299"/>
      <c r="D15" s="874" t="str">
        <f>+IFERROR(VLOOKUP(B15,Tipos!F:G,2,0)," ")</f>
        <v xml:space="preserve"> </v>
      </c>
      <c r="E15" s="874"/>
      <c r="F15" s="299"/>
      <c r="G15" s="299"/>
      <c r="H15" s="299"/>
      <c r="I15" s="299"/>
      <c r="J15" s="330"/>
      <c r="K15" s="330"/>
      <c r="L15" s="114"/>
    </row>
    <row r="16" spans="1:16" x14ac:dyDescent="0.45">
      <c r="A16" s="114"/>
      <c r="B16" s="299"/>
      <c r="C16" s="299"/>
      <c r="D16" s="874" t="str">
        <f>+IFERROR(VLOOKUP(B16,Tipos!F:G,2,0)," ")</f>
        <v xml:space="preserve"> </v>
      </c>
      <c r="E16" s="874"/>
      <c r="F16" s="299"/>
      <c r="G16" s="299"/>
      <c r="H16" s="299"/>
      <c r="I16" s="299"/>
      <c r="J16" s="330"/>
      <c r="K16" s="330"/>
      <c r="L16" s="114"/>
    </row>
    <row r="17" spans="1:12" x14ac:dyDescent="0.45">
      <c r="A17" s="114"/>
      <c r="B17" s="299"/>
      <c r="C17" s="299"/>
      <c r="D17" s="874" t="str">
        <f>+IFERROR(VLOOKUP(B17,Tipos!F:G,2,0)," ")</f>
        <v xml:space="preserve"> </v>
      </c>
      <c r="E17" s="874"/>
      <c r="F17" s="299"/>
      <c r="G17" s="299"/>
      <c r="H17" s="299"/>
      <c r="I17" s="299"/>
      <c r="J17" s="330"/>
      <c r="K17" s="330"/>
      <c r="L17" s="114"/>
    </row>
    <row r="18" spans="1:12" x14ac:dyDescent="0.45">
      <c r="A18" s="114"/>
      <c r="B18" s="299"/>
      <c r="C18" s="299"/>
      <c r="D18" s="874" t="str">
        <f>+IFERROR(VLOOKUP(B18,Tipos!F:G,2,0)," ")</f>
        <v xml:space="preserve"> </v>
      </c>
      <c r="E18" s="874"/>
      <c r="F18" s="299"/>
      <c r="G18" s="299"/>
      <c r="H18" s="299"/>
      <c r="I18" s="299"/>
      <c r="J18" s="330"/>
      <c r="K18" s="330"/>
      <c r="L18" s="114"/>
    </row>
    <row r="19" spans="1:12" x14ac:dyDescent="0.45">
      <c r="A19" s="114"/>
      <c r="B19" s="299"/>
      <c r="C19" s="299"/>
      <c r="D19" s="874" t="str">
        <f>+IFERROR(VLOOKUP(B19,Tipos!F:G,2,0)," ")</f>
        <v xml:space="preserve"> </v>
      </c>
      <c r="E19" s="874"/>
      <c r="F19" s="299"/>
      <c r="G19" s="299"/>
      <c r="H19" s="299"/>
      <c r="I19" s="299"/>
      <c r="J19" s="330"/>
      <c r="K19" s="330"/>
      <c r="L19" s="114"/>
    </row>
    <row r="20" spans="1:12" x14ac:dyDescent="0.45">
      <c r="A20" s="114"/>
      <c r="B20" s="299"/>
      <c r="C20" s="299"/>
      <c r="D20" s="874" t="str">
        <f>+IFERROR(VLOOKUP(B20,Tipos!F:G,2,0)," ")</f>
        <v xml:space="preserve"> </v>
      </c>
      <c r="E20" s="874"/>
      <c r="F20" s="299"/>
      <c r="G20" s="299"/>
      <c r="H20" s="299"/>
      <c r="I20" s="299"/>
      <c r="J20" s="330"/>
      <c r="K20" s="330"/>
      <c r="L20" s="114"/>
    </row>
    <row r="21" spans="1:12" x14ac:dyDescent="0.45">
      <c r="A21" s="114"/>
      <c r="B21" s="564"/>
      <c r="C21" s="564"/>
      <c r="D21" s="564"/>
      <c r="E21" s="564"/>
      <c r="F21" s="564"/>
      <c r="G21" s="564"/>
      <c r="H21" s="564"/>
      <c r="I21" s="564"/>
      <c r="J21" s="564"/>
      <c r="K21" s="564"/>
      <c r="L21" s="114"/>
    </row>
    <row r="22" spans="1:12" x14ac:dyDescent="0.45">
      <c r="A22" s="114"/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</row>
    <row r="23" spans="1:12" x14ac:dyDescent="0.45">
      <c r="A23" s="114"/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</row>
    <row r="24" spans="1:12" x14ac:dyDescent="0.45">
      <c r="A24" s="114"/>
      <c r="B24" s="114"/>
      <c r="C24" s="114"/>
      <c r="D24" s="114"/>
      <c r="E24" s="114"/>
      <c r="F24" s="114"/>
      <c r="G24" s="114"/>
      <c r="H24" s="114"/>
      <c r="I24" s="114"/>
      <c r="J24" s="114"/>
      <c r="K24" s="114"/>
      <c r="L24" s="114"/>
    </row>
    <row r="25" spans="1:12" x14ac:dyDescent="0.45">
      <c r="A25" s="114"/>
      <c r="B25" s="114"/>
      <c r="C25" s="114"/>
      <c r="D25" s="114"/>
      <c r="E25" s="114"/>
      <c r="F25" s="114"/>
      <c r="G25" s="114"/>
      <c r="H25" s="114"/>
      <c r="I25" s="114"/>
      <c r="J25" s="114"/>
      <c r="K25" s="114"/>
      <c r="L25" s="114"/>
    </row>
    <row r="26" spans="1:12" x14ac:dyDescent="0.45">
      <c r="A26" s="114"/>
      <c r="B26" s="114"/>
      <c r="C26" s="114"/>
      <c r="D26" s="114"/>
      <c r="E26" s="114"/>
      <c r="F26" s="114"/>
      <c r="G26" s="114"/>
      <c r="H26" s="114"/>
      <c r="I26" s="114"/>
      <c r="J26" s="114"/>
      <c r="K26" s="114"/>
      <c r="L26" s="114"/>
    </row>
    <row r="27" spans="1:12" ht="17.25" x14ac:dyDescent="0.45">
      <c r="A27" s="114"/>
      <c r="B27" s="114"/>
      <c r="C27" s="114"/>
      <c r="D27" s="114"/>
      <c r="E27" s="114"/>
      <c r="F27" s="114"/>
      <c r="G27" s="114"/>
      <c r="H27" s="300"/>
      <c r="I27" s="300"/>
      <c r="J27" s="300"/>
      <c r="K27" s="114"/>
      <c r="L27" s="114"/>
    </row>
    <row r="28" spans="1:12" ht="17.25" x14ac:dyDescent="0.45">
      <c r="A28" s="114"/>
      <c r="B28" s="114"/>
      <c r="C28" s="114"/>
      <c r="D28" s="300"/>
      <c r="E28" s="300"/>
      <c r="F28" s="300"/>
      <c r="G28" s="114"/>
      <c r="H28" s="300"/>
      <c r="I28" s="300"/>
      <c r="J28" s="300"/>
      <c r="K28" s="114"/>
      <c r="L28" s="114"/>
    </row>
    <row r="29" spans="1:12" x14ac:dyDescent="0.45">
      <c r="A29" s="114"/>
      <c r="B29" s="114"/>
      <c r="C29" s="114"/>
      <c r="D29" s="114"/>
      <c r="E29" s="114"/>
      <c r="F29" s="114"/>
      <c r="G29" s="114"/>
      <c r="H29" s="114"/>
      <c r="I29" s="114"/>
      <c r="J29" s="114"/>
      <c r="K29" s="114"/>
      <c r="L29" s="114"/>
    </row>
    <row r="30" spans="1:12" x14ac:dyDescent="0.45">
      <c r="A30" s="114"/>
      <c r="B30" s="114"/>
      <c r="C30" s="114"/>
      <c r="D30" s="114"/>
      <c r="E30" s="114"/>
      <c r="F30" s="114"/>
      <c r="G30" s="114"/>
      <c r="H30" s="114"/>
      <c r="I30" s="114"/>
      <c r="J30" s="114"/>
      <c r="K30" s="114"/>
      <c r="L30" s="114"/>
    </row>
  </sheetData>
  <mergeCells count="56">
    <mergeCell ref="H28:J28"/>
    <mergeCell ref="D28:F28"/>
    <mergeCell ref="H27:J27"/>
    <mergeCell ref="B20:C20"/>
    <mergeCell ref="D20:E20"/>
    <mergeCell ref="F20:I20"/>
    <mergeCell ref="J20:K20"/>
    <mergeCell ref="B21:C21"/>
    <mergeCell ref="D21:E21"/>
    <mergeCell ref="F21:I21"/>
    <mergeCell ref="J21:K21"/>
    <mergeCell ref="B18:C18"/>
    <mergeCell ref="D18:E18"/>
    <mergeCell ref="F18:I18"/>
    <mergeCell ref="J18:K18"/>
    <mergeCell ref="B19:C19"/>
    <mergeCell ref="D19:E19"/>
    <mergeCell ref="F19:I19"/>
    <mergeCell ref="J19:K19"/>
    <mergeCell ref="B16:C16"/>
    <mergeCell ref="D16:E16"/>
    <mergeCell ref="F16:I16"/>
    <mergeCell ref="J16:K16"/>
    <mergeCell ref="B17:C17"/>
    <mergeCell ref="D17:E17"/>
    <mergeCell ref="F17:I17"/>
    <mergeCell ref="J17:K17"/>
    <mergeCell ref="B14:C14"/>
    <mergeCell ref="D14:E14"/>
    <mergeCell ref="F14:I14"/>
    <mergeCell ref="J14:K14"/>
    <mergeCell ref="B15:C15"/>
    <mergeCell ref="D15:E15"/>
    <mergeCell ref="F15:I15"/>
    <mergeCell ref="J15:K15"/>
    <mergeCell ref="B13:C13"/>
    <mergeCell ref="D13:E13"/>
    <mergeCell ref="F13:I13"/>
    <mergeCell ref="J13:K13"/>
    <mergeCell ref="B11:C11"/>
    <mergeCell ref="D11:E11"/>
    <mergeCell ref="F11:I11"/>
    <mergeCell ref="J11:K11"/>
    <mergeCell ref="B12:C12"/>
    <mergeCell ref="D12:E12"/>
    <mergeCell ref="F12:I12"/>
    <mergeCell ref="J12:K12"/>
    <mergeCell ref="B10:C10"/>
    <mergeCell ref="D10:E10"/>
    <mergeCell ref="F10:I10"/>
    <mergeCell ref="J10:K10"/>
    <mergeCell ref="M5:P7"/>
    <mergeCell ref="B9:C9"/>
    <mergeCell ref="D9:E9"/>
    <mergeCell ref="F9:I9"/>
    <mergeCell ref="J9:K9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22730F-66E6-4F4A-90CE-0582DD672B1D}">
          <x14:formula1>
            <xm:f>Tipos!$F$2:$F$3</xm:f>
          </x14:formula1>
          <xm:sqref>B10:C20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0F5E0-650A-440E-9E51-AA0FEC1341A8}">
  <sheetPr codeName="Hoja5"/>
  <dimension ref="A1:N55"/>
  <sheetViews>
    <sheetView topLeftCell="I1" workbookViewId="0">
      <selection activeCell="N6" sqref="N6"/>
    </sheetView>
  </sheetViews>
  <sheetFormatPr baseColWidth="10" defaultColWidth="11.06640625" defaultRowHeight="14.25" x14ac:dyDescent="0.45"/>
  <cols>
    <col min="1" max="1" width="17.53125" customWidth="1"/>
    <col min="2" max="2" width="22" bestFit="1" customWidth="1"/>
    <col min="3" max="3" width="83.53125" bestFit="1" customWidth="1"/>
    <col min="4" max="5" width="16" customWidth="1"/>
    <col min="6" max="6" width="26" bestFit="1" customWidth="1"/>
    <col min="7" max="7" width="16.796875" bestFit="1" customWidth="1"/>
    <col min="8" max="8" width="55" bestFit="1" customWidth="1"/>
    <col min="9" max="9" width="35.46484375" bestFit="1" customWidth="1"/>
    <col min="10" max="10" width="35.796875" bestFit="1" customWidth="1"/>
    <col min="11" max="11" width="21.265625" bestFit="1" customWidth="1"/>
    <col min="12" max="12" width="18.265625" bestFit="1" customWidth="1"/>
    <col min="13" max="13" width="21" bestFit="1" customWidth="1"/>
    <col min="14" max="14" width="14.53125" customWidth="1"/>
  </cols>
  <sheetData>
    <row r="1" spans="1:14" x14ac:dyDescent="0.45">
      <c r="A1" s="132" t="s">
        <v>101</v>
      </c>
      <c r="B1" s="132" t="s">
        <v>102</v>
      </c>
      <c r="C1" s="132" t="s">
        <v>139</v>
      </c>
      <c r="D1" s="132" t="s">
        <v>126</v>
      </c>
      <c r="E1" s="132" t="s">
        <v>164</v>
      </c>
      <c r="F1" s="132" t="s">
        <v>138</v>
      </c>
      <c r="G1" s="132" t="s">
        <v>126</v>
      </c>
      <c r="H1" s="132" t="s">
        <v>141</v>
      </c>
      <c r="I1" s="132" t="s">
        <v>126</v>
      </c>
      <c r="J1" s="132" t="s">
        <v>149</v>
      </c>
      <c r="K1" s="132" t="s">
        <v>126</v>
      </c>
      <c r="L1" s="132" t="s">
        <v>407</v>
      </c>
      <c r="M1" s="132" t="s">
        <v>452</v>
      </c>
      <c r="N1" s="132" t="s">
        <v>581</v>
      </c>
    </row>
    <row r="2" spans="1:14" ht="25.5" x14ac:dyDescent="0.45">
      <c r="A2" t="s">
        <v>103</v>
      </c>
      <c r="B2" t="s">
        <v>104</v>
      </c>
      <c r="C2" t="s">
        <v>530</v>
      </c>
      <c r="D2" t="s">
        <v>127</v>
      </c>
      <c r="E2" t="s">
        <v>165</v>
      </c>
      <c r="F2" t="s">
        <v>568</v>
      </c>
      <c r="G2" t="s">
        <v>140</v>
      </c>
      <c r="H2" s="266" t="s">
        <v>575</v>
      </c>
      <c r="I2" t="s">
        <v>255</v>
      </c>
      <c r="J2" t="s">
        <v>142</v>
      </c>
      <c r="K2" t="s">
        <v>199</v>
      </c>
      <c r="L2" s="5">
        <v>1</v>
      </c>
      <c r="M2" t="s">
        <v>453</v>
      </c>
      <c r="N2">
        <v>1</v>
      </c>
    </row>
    <row r="3" spans="1:14" x14ac:dyDescent="0.45">
      <c r="A3" t="s">
        <v>100</v>
      </c>
      <c r="B3" t="s">
        <v>105</v>
      </c>
      <c r="C3" t="s">
        <v>529</v>
      </c>
      <c r="D3" t="s">
        <v>127</v>
      </c>
      <c r="E3" t="s">
        <v>165</v>
      </c>
      <c r="F3" t="s">
        <v>120</v>
      </c>
      <c r="G3" t="s">
        <v>140</v>
      </c>
      <c r="H3" t="s">
        <v>576</v>
      </c>
      <c r="I3" t="s">
        <v>255</v>
      </c>
      <c r="J3" t="s">
        <v>143</v>
      </c>
      <c r="K3" t="s">
        <v>199</v>
      </c>
      <c r="L3" s="5">
        <v>2</v>
      </c>
      <c r="M3" t="s">
        <v>454</v>
      </c>
      <c r="N3">
        <v>2</v>
      </c>
    </row>
    <row r="4" spans="1:14" x14ac:dyDescent="0.45">
      <c r="A4" t="s">
        <v>106</v>
      </c>
      <c r="B4" t="s">
        <v>107</v>
      </c>
      <c r="C4" t="s">
        <v>444</v>
      </c>
      <c r="D4" t="s">
        <v>544</v>
      </c>
      <c r="E4" t="s">
        <v>169</v>
      </c>
      <c r="H4" t="s">
        <v>254</v>
      </c>
      <c r="I4" t="s">
        <v>255</v>
      </c>
      <c r="J4" t="s">
        <v>144</v>
      </c>
      <c r="K4" t="s">
        <v>199</v>
      </c>
      <c r="L4" s="5" t="s">
        <v>408</v>
      </c>
      <c r="N4">
        <v>3</v>
      </c>
    </row>
    <row r="5" spans="1:14" x14ac:dyDescent="0.45">
      <c r="A5" t="s">
        <v>108</v>
      </c>
      <c r="B5" t="s">
        <v>109</v>
      </c>
      <c r="C5" s="266" t="s">
        <v>531</v>
      </c>
      <c r="D5" t="s">
        <v>127</v>
      </c>
      <c r="E5" t="s">
        <v>165</v>
      </c>
      <c r="H5" t="s">
        <v>257</v>
      </c>
      <c r="I5" t="s">
        <v>256</v>
      </c>
      <c r="J5" t="s">
        <v>145</v>
      </c>
      <c r="K5" t="s">
        <v>199</v>
      </c>
      <c r="N5">
        <v>4</v>
      </c>
    </row>
    <row r="6" spans="1:14" x14ac:dyDescent="0.45">
      <c r="A6" t="s">
        <v>110</v>
      </c>
      <c r="B6" t="s">
        <v>111</v>
      </c>
      <c r="C6" t="s">
        <v>532</v>
      </c>
      <c r="D6" t="s">
        <v>127</v>
      </c>
      <c r="E6" t="s">
        <v>165</v>
      </c>
      <c r="H6" s="266"/>
      <c r="J6" t="s">
        <v>146</v>
      </c>
      <c r="K6" t="s">
        <v>199</v>
      </c>
    </row>
    <row r="7" spans="1:14" x14ac:dyDescent="0.45">
      <c r="A7" t="s">
        <v>112</v>
      </c>
      <c r="B7" t="s">
        <v>113</v>
      </c>
      <c r="C7" t="s">
        <v>533</v>
      </c>
      <c r="D7" t="s">
        <v>127</v>
      </c>
      <c r="E7" t="s">
        <v>165</v>
      </c>
      <c r="J7" t="s">
        <v>147</v>
      </c>
      <c r="K7" t="s">
        <v>199</v>
      </c>
    </row>
    <row r="8" spans="1:14" x14ac:dyDescent="0.45">
      <c r="C8" t="s">
        <v>545</v>
      </c>
      <c r="D8" t="s">
        <v>544</v>
      </c>
      <c r="E8" t="s">
        <v>166</v>
      </c>
      <c r="J8" t="s">
        <v>561</v>
      </c>
      <c r="K8" t="s">
        <v>199</v>
      </c>
    </row>
    <row r="9" spans="1:14" x14ac:dyDescent="0.45">
      <c r="A9" t="s">
        <v>114</v>
      </c>
      <c r="C9" t="s">
        <v>534</v>
      </c>
      <c r="D9" t="s">
        <v>127</v>
      </c>
      <c r="E9" t="s">
        <v>165</v>
      </c>
      <c r="J9" t="s">
        <v>148</v>
      </c>
      <c r="K9" t="s">
        <v>199</v>
      </c>
    </row>
    <row r="10" spans="1:14" x14ac:dyDescent="0.45">
      <c r="A10" t="s">
        <v>115</v>
      </c>
      <c r="C10" t="s">
        <v>535</v>
      </c>
      <c r="D10" t="s">
        <v>127</v>
      </c>
      <c r="E10" t="s">
        <v>165</v>
      </c>
      <c r="J10" t="s">
        <v>150</v>
      </c>
      <c r="K10" t="s">
        <v>200</v>
      </c>
    </row>
    <row r="11" spans="1:14" x14ac:dyDescent="0.45">
      <c r="A11" t="s">
        <v>116</v>
      </c>
      <c r="C11" t="s">
        <v>536</v>
      </c>
      <c r="D11" t="s">
        <v>127</v>
      </c>
      <c r="E11" t="s">
        <v>165</v>
      </c>
      <c r="J11" t="s">
        <v>151</v>
      </c>
      <c r="K11" t="s">
        <v>200</v>
      </c>
    </row>
    <row r="12" spans="1:14" x14ac:dyDescent="0.45">
      <c r="A12" t="s">
        <v>117</v>
      </c>
      <c r="C12" t="s">
        <v>537</v>
      </c>
      <c r="D12" t="s">
        <v>127</v>
      </c>
      <c r="E12" t="s">
        <v>165</v>
      </c>
      <c r="J12" t="s">
        <v>152</v>
      </c>
      <c r="K12" t="s">
        <v>200</v>
      </c>
    </row>
    <row r="13" spans="1:14" x14ac:dyDescent="0.45">
      <c r="A13" t="s">
        <v>118</v>
      </c>
      <c r="C13" t="s">
        <v>229</v>
      </c>
      <c r="D13" t="s">
        <v>127</v>
      </c>
      <c r="E13" t="s">
        <v>165</v>
      </c>
      <c r="J13" t="s">
        <v>267</v>
      </c>
      <c r="K13" t="s">
        <v>268</v>
      </c>
    </row>
    <row r="14" spans="1:14" x14ac:dyDescent="0.45">
      <c r="A14" t="s">
        <v>119</v>
      </c>
      <c r="C14" t="s">
        <v>538</v>
      </c>
      <c r="D14" t="s">
        <v>127</v>
      </c>
      <c r="E14" t="s">
        <v>166</v>
      </c>
      <c r="J14" t="s">
        <v>562</v>
      </c>
      <c r="K14" t="s">
        <v>268</v>
      </c>
    </row>
    <row r="15" spans="1:14" x14ac:dyDescent="0.45">
      <c r="C15" t="s">
        <v>539</v>
      </c>
      <c r="D15" t="s">
        <v>127</v>
      </c>
      <c r="E15" t="s">
        <v>166</v>
      </c>
    </row>
    <row r="16" spans="1:14" x14ac:dyDescent="0.45">
      <c r="C16" t="s">
        <v>540</v>
      </c>
      <c r="D16" t="s">
        <v>127</v>
      </c>
      <c r="E16" t="s">
        <v>167</v>
      </c>
    </row>
    <row r="17" spans="3:5" x14ac:dyDescent="0.45">
      <c r="C17" t="s">
        <v>541</v>
      </c>
      <c r="D17" t="s">
        <v>127</v>
      </c>
      <c r="E17" t="s">
        <v>167</v>
      </c>
    </row>
    <row r="18" spans="3:5" x14ac:dyDescent="0.45">
      <c r="C18" t="s">
        <v>546</v>
      </c>
      <c r="D18" t="s">
        <v>544</v>
      </c>
      <c r="E18" t="s">
        <v>167</v>
      </c>
    </row>
    <row r="19" spans="3:5" x14ac:dyDescent="0.45">
      <c r="C19" t="s">
        <v>542</v>
      </c>
      <c r="D19" t="s">
        <v>127</v>
      </c>
      <c r="E19" t="s">
        <v>168</v>
      </c>
    </row>
    <row r="20" spans="3:5" x14ac:dyDescent="0.45">
      <c r="C20" t="s">
        <v>569</v>
      </c>
      <c r="D20" t="s">
        <v>128</v>
      </c>
      <c r="E20" t="s">
        <v>165</v>
      </c>
    </row>
    <row r="21" spans="3:5" x14ac:dyDescent="0.45">
      <c r="C21" t="s">
        <v>121</v>
      </c>
      <c r="D21" t="s">
        <v>128</v>
      </c>
      <c r="E21" t="s">
        <v>165</v>
      </c>
    </row>
    <row r="22" spans="3:5" x14ac:dyDescent="0.45">
      <c r="C22" t="s">
        <v>567</v>
      </c>
      <c r="D22" t="s">
        <v>128</v>
      </c>
      <c r="E22" t="s">
        <v>165</v>
      </c>
    </row>
    <row r="23" spans="3:5" x14ac:dyDescent="0.45">
      <c r="C23" t="s">
        <v>122</v>
      </c>
      <c r="D23" t="s">
        <v>128</v>
      </c>
      <c r="E23" t="s">
        <v>165</v>
      </c>
    </row>
    <row r="24" spans="3:5" x14ac:dyDescent="0.45">
      <c r="C24" t="s">
        <v>123</v>
      </c>
      <c r="D24" t="s">
        <v>128</v>
      </c>
      <c r="E24" t="s">
        <v>165</v>
      </c>
    </row>
    <row r="25" spans="3:5" x14ac:dyDescent="0.45">
      <c r="C25" t="s">
        <v>124</v>
      </c>
      <c r="D25" t="s">
        <v>129</v>
      </c>
      <c r="E25" t="s">
        <v>165</v>
      </c>
    </row>
    <row r="26" spans="3:5" x14ac:dyDescent="0.45">
      <c r="C26" t="s">
        <v>125</v>
      </c>
      <c r="D26" t="s">
        <v>129</v>
      </c>
      <c r="E26" t="s">
        <v>169</v>
      </c>
    </row>
    <row r="27" spans="3:5" x14ac:dyDescent="0.45">
      <c r="C27" t="s">
        <v>130</v>
      </c>
      <c r="D27" t="s">
        <v>128</v>
      </c>
      <c r="E27" t="s">
        <v>169</v>
      </c>
    </row>
    <row r="28" spans="3:5" x14ac:dyDescent="0.45">
      <c r="C28" t="s">
        <v>131</v>
      </c>
      <c r="D28" t="s">
        <v>128</v>
      </c>
      <c r="E28" t="s">
        <v>169</v>
      </c>
    </row>
    <row r="29" spans="3:5" x14ac:dyDescent="0.45">
      <c r="C29" t="s">
        <v>170</v>
      </c>
      <c r="D29" t="s">
        <v>127</v>
      </c>
      <c r="E29" t="s">
        <v>165</v>
      </c>
    </row>
    <row r="30" spans="3:5" x14ac:dyDescent="0.45">
      <c r="C30" t="s">
        <v>249</v>
      </c>
      <c r="D30" t="s">
        <v>129</v>
      </c>
      <c r="E30" t="s">
        <v>166</v>
      </c>
    </row>
    <row r="31" spans="3:5" x14ac:dyDescent="0.45">
      <c r="C31" t="s">
        <v>223</v>
      </c>
      <c r="D31" t="s">
        <v>128</v>
      </c>
      <c r="E31" t="s">
        <v>166</v>
      </c>
    </row>
    <row r="32" spans="3:5" x14ac:dyDescent="0.45">
      <c r="C32" t="s">
        <v>221</v>
      </c>
      <c r="D32" t="s">
        <v>129</v>
      </c>
      <c r="E32" t="s">
        <v>167</v>
      </c>
    </row>
    <row r="33" spans="3:5" x14ac:dyDescent="0.45">
      <c r="C33" t="s">
        <v>248</v>
      </c>
      <c r="D33" t="s">
        <v>128</v>
      </c>
      <c r="E33" t="s">
        <v>167</v>
      </c>
    </row>
    <row r="34" spans="3:5" x14ac:dyDescent="0.45">
      <c r="C34" t="s">
        <v>402</v>
      </c>
      <c r="D34" t="s">
        <v>128</v>
      </c>
      <c r="E34" t="s">
        <v>168</v>
      </c>
    </row>
    <row r="35" spans="3:5" x14ac:dyDescent="0.45">
      <c r="C35" t="s">
        <v>403</v>
      </c>
      <c r="D35" t="s">
        <v>129</v>
      </c>
      <c r="E35" t="s">
        <v>168</v>
      </c>
    </row>
    <row r="36" spans="3:5" x14ac:dyDescent="0.45">
      <c r="C36" t="s">
        <v>552</v>
      </c>
      <c r="D36" t="s">
        <v>127</v>
      </c>
      <c r="E36" t="s">
        <v>165</v>
      </c>
    </row>
    <row r="37" spans="3:5" x14ac:dyDescent="0.45">
      <c r="C37" t="s">
        <v>553</v>
      </c>
      <c r="D37" t="s">
        <v>127</v>
      </c>
      <c r="E37" t="s">
        <v>165</v>
      </c>
    </row>
    <row r="38" spans="3:5" x14ac:dyDescent="0.45">
      <c r="C38" s="268" t="s">
        <v>554</v>
      </c>
      <c r="D38" t="s">
        <v>127</v>
      </c>
      <c r="E38" t="s">
        <v>165</v>
      </c>
    </row>
    <row r="39" spans="3:5" x14ac:dyDescent="0.45">
      <c r="C39" t="s">
        <v>555</v>
      </c>
      <c r="D39" t="s">
        <v>127</v>
      </c>
      <c r="E39" t="s">
        <v>166</v>
      </c>
    </row>
    <row r="40" spans="3:5" x14ac:dyDescent="0.45">
      <c r="C40" t="s">
        <v>556</v>
      </c>
      <c r="D40" t="s">
        <v>127</v>
      </c>
      <c r="E40" t="s">
        <v>168</v>
      </c>
    </row>
    <row r="41" spans="3:5" x14ac:dyDescent="0.45">
      <c r="C41" t="s">
        <v>558</v>
      </c>
      <c r="D41" t="s">
        <v>128</v>
      </c>
      <c r="E41" t="s">
        <v>168</v>
      </c>
    </row>
    <row r="42" spans="3:5" x14ac:dyDescent="0.45">
      <c r="C42" t="s">
        <v>557</v>
      </c>
      <c r="D42" t="s">
        <v>128</v>
      </c>
      <c r="E42" t="s">
        <v>165</v>
      </c>
    </row>
    <row r="43" spans="3:5" x14ac:dyDescent="0.45">
      <c r="C43" t="s">
        <v>560</v>
      </c>
      <c r="D43" t="s">
        <v>128</v>
      </c>
      <c r="E43" t="s">
        <v>165</v>
      </c>
    </row>
    <row r="44" spans="3:5" x14ac:dyDescent="0.45">
      <c r="C44" t="s">
        <v>563</v>
      </c>
      <c r="D44" t="s">
        <v>128</v>
      </c>
      <c r="E44" t="s">
        <v>165</v>
      </c>
    </row>
    <row r="45" spans="3:5" x14ac:dyDescent="0.45">
      <c r="C45" t="s">
        <v>565</v>
      </c>
      <c r="D45" t="s">
        <v>127</v>
      </c>
      <c r="E45" t="s">
        <v>168</v>
      </c>
    </row>
    <row r="46" spans="3:5" x14ac:dyDescent="0.45">
      <c r="C46" t="s">
        <v>566</v>
      </c>
      <c r="D46" t="s">
        <v>127</v>
      </c>
      <c r="E46" t="s">
        <v>165</v>
      </c>
    </row>
    <row r="47" spans="3:5" x14ac:dyDescent="0.45">
      <c r="C47" t="s">
        <v>560</v>
      </c>
      <c r="D47" t="s">
        <v>128</v>
      </c>
      <c r="E47" t="s">
        <v>165</v>
      </c>
    </row>
    <row r="48" spans="3:5" x14ac:dyDescent="0.45">
      <c r="C48" t="s">
        <v>570</v>
      </c>
      <c r="D48" t="s">
        <v>128</v>
      </c>
      <c r="E48" t="s">
        <v>165</v>
      </c>
    </row>
    <row r="49" spans="3:5" x14ac:dyDescent="0.45">
      <c r="C49" t="s">
        <v>571</v>
      </c>
      <c r="D49" t="s">
        <v>129</v>
      </c>
      <c r="E49" t="s">
        <v>165</v>
      </c>
    </row>
    <row r="50" spans="3:5" x14ac:dyDescent="0.45">
      <c r="C50" t="s">
        <v>573</v>
      </c>
      <c r="D50" t="s">
        <v>129</v>
      </c>
      <c r="E50" t="s">
        <v>165</v>
      </c>
    </row>
    <row r="51" spans="3:5" x14ac:dyDescent="0.45">
      <c r="C51" t="s">
        <v>574</v>
      </c>
      <c r="D51" t="s">
        <v>127</v>
      </c>
      <c r="E51" t="s">
        <v>168</v>
      </c>
    </row>
    <row r="52" spans="3:5" x14ac:dyDescent="0.45">
      <c r="C52" t="s">
        <v>572</v>
      </c>
      <c r="D52" t="s">
        <v>129</v>
      </c>
      <c r="E52" t="s">
        <v>168</v>
      </c>
    </row>
    <row r="53" spans="3:5" x14ac:dyDescent="0.45">
      <c r="C53" t="s">
        <v>579</v>
      </c>
      <c r="D53" t="s">
        <v>129</v>
      </c>
      <c r="E53" t="s">
        <v>168</v>
      </c>
    </row>
    <row r="54" spans="3:5" x14ac:dyDescent="0.45">
      <c r="C54" t="s">
        <v>578</v>
      </c>
      <c r="D54" t="s">
        <v>129</v>
      </c>
      <c r="E54" t="s">
        <v>165</v>
      </c>
    </row>
    <row r="55" spans="3:5" x14ac:dyDescent="0.45">
      <c r="C55" t="s">
        <v>577</v>
      </c>
      <c r="D55" t="s">
        <v>129</v>
      </c>
      <c r="E55" t="s">
        <v>165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B46BA-293B-437D-9A9B-E59621221F90}">
  <sheetPr codeName="Hoja2"/>
  <dimension ref="A1:C45"/>
  <sheetViews>
    <sheetView workbookViewId="0">
      <selection activeCell="C43" sqref="C43"/>
    </sheetView>
  </sheetViews>
  <sheetFormatPr baseColWidth="10" defaultRowHeight="14.25" x14ac:dyDescent="0.45"/>
  <cols>
    <col min="1" max="1" width="65.73046875" bestFit="1" customWidth="1"/>
    <col min="2" max="2" width="15.265625" bestFit="1" customWidth="1"/>
    <col min="3" max="3" width="10.73046875" style="5" bestFit="1" customWidth="1"/>
  </cols>
  <sheetData>
    <row r="1" spans="1:3" x14ac:dyDescent="0.45">
      <c r="A1" t="s">
        <v>48</v>
      </c>
      <c r="B1" t="s">
        <v>49</v>
      </c>
      <c r="C1" s="5" t="s">
        <v>47</v>
      </c>
    </row>
    <row r="2" spans="1:3" x14ac:dyDescent="0.45">
      <c r="A2" t="s">
        <v>32</v>
      </c>
      <c r="B2" t="s">
        <v>79</v>
      </c>
      <c r="C2" s="5">
        <v>34</v>
      </c>
    </row>
    <row r="3" spans="1:3" x14ac:dyDescent="0.45">
      <c r="A3" t="s">
        <v>3</v>
      </c>
      <c r="B3" t="s">
        <v>50</v>
      </c>
      <c r="C3" s="5" t="s">
        <v>176</v>
      </c>
    </row>
    <row r="4" spans="1:3" x14ac:dyDescent="0.45">
      <c r="A4" t="s">
        <v>30</v>
      </c>
      <c r="B4" t="s">
        <v>78</v>
      </c>
      <c r="C4" s="5">
        <v>29</v>
      </c>
    </row>
    <row r="5" spans="1:3" x14ac:dyDescent="0.45">
      <c r="A5" t="s">
        <v>4</v>
      </c>
      <c r="B5" t="s">
        <v>51</v>
      </c>
      <c r="C5" s="5" t="s">
        <v>177</v>
      </c>
    </row>
    <row r="6" spans="1:3" x14ac:dyDescent="0.45">
      <c r="A6" t="s">
        <v>31</v>
      </c>
      <c r="B6" t="s">
        <v>52</v>
      </c>
      <c r="C6" s="5">
        <v>32</v>
      </c>
    </row>
    <row r="7" spans="1:3" x14ac:dyDescent="0.45">
      <c r="A7" t="s">
        <v>5</v>
      </c>
      <c r="B7" t="s">
        <v>53</v>
      </c>
      <c r="C7" s="5" t="s">
        <v>178</v>
      </c>
    </row>
    <row r="8" spans="1:3" x14ac:dyDescent="0.45">
      <c r="A8" t="s">
        <v>33</v>
      </c>
      <c r="B8" t="s">
        <v>80</v>
      </c>
      <c r="C8" s="5">
        <v>35</v>
      </c>
    </row>
    <row r="9" spans="1:3" x14ac:dyDescent="0.45">
      <c r="A9" t="s">
        <v>6</v>
      </c>
      <c r="B9" t="s">
        <v>54</v>
      </c>
      <c r="C9" s="5" t="s">
        <v>179</v>
      </c>
    </row>
    <row r="10" spans="1:3" x14ac:dyDescent="0.45">
      <c r="A10" t="s">
        <v>7</v>
      </c>
      <c r="B10" t="s">
        <v>55</v>
      </c>
      <c r="C10" s="5" t="s">
        <v>180</v>
      </c>
    </row>
    <row r="11" spans="1:3" x14ac:dyDescent="0.45">
      <c r="A11" t="s">
        <v>34</v>
      </c>
      <c r="B11" t="s">
        <v>81</v>
      </c>
      <c r="C11" s="5">
        <v>36</v>
      </c>
    </row>
    <row r="12" spans="1:3" x14ac:dyDescent="0.45">
      <c r="A12" t="s">
        <v>8</v>
      </c>
      <c r="B12" t="s">
        <v>56</v>
      </c>
      <c r="C12" s="5" t="s">
        <v>181</v>
      </c>
    </row>
    <row r="13" spans="1:3" x14ac:dyDescent="0.45">
      <c r="A13" t="s">
        <v>29</v>
      </c>
      <c r="B13" t="s">
        <v>77</v>
      </c>
      <c r="C13" s="5">
        <v>28</v>
      </c>
    </row>
    <row r="14" spans="1:3" x14ac:dyDescent="0.45">
      <c r="A14" t="s">
        <v>9</v>
      </c>
      <c r="B14" t="s">
        <v>57</v>
      </c>
      <c r="C14" s="5" t="s">
        <v>182</v>
      </c>
    </row>
    <row r="15" spans="1:3" x14ac:dyDescent="0.45">
      <c r="A15" t="s">
        <v>45</v>
      </c>
      <c r="B15" t="s">
        <v>92</v>
      </c>
      <c r="C15" s="5">
        <v>78</v>
      </c>
    </row>
    <row r="16" spans="1:3" x14ac:dyDescent="0.45">
      <c r="A16" t="s">
        <v>10</v>
      </c>
      <c r="B16" t="s">
        <v>58</v>
      </c>
      <c r="C16" s="5" t="s">
        <v>183</v>
      </c>
    </row>
    <row r="17" spans="1:3" x14ac:dyDescent="0.45">
      <c r="A17" t="s">
        <v>41</v>
      </c>
      <c r="B17" t="s">
        <v>88</v>
      </c>
      <c r="C17" s="5">
        <v>43</v>
      </c>
    </row>
    <row r="18" spans="1:3" x14ac:dyDescent="0.45">
      <c r="A18" t="s">
        <v>35</v>
      </c>
      <c r="B18" t="s">
        <v>82</v>
      </c>
      <c r="C18" s="5">
        <v>37</v>
      </c>
    </row>
    <row r="19" spans="1:3" x14ac:dyDescent="0.45">
      <c r="A19" t="s">
        <v>36</v>
      </c>
      <c r="B19" t="s">
        <v>83</v>
      </c>
      <c r="C19" s="5">
        <v>38</v>
      </c>
    </row>
    <row r="20" spans="1:3" x14ac:dyDescent="0.45">
      <c r="A20" t="s">
        <v>37</v>
      </c>
      <c r="B20" t="s">
        <v>84</v>
      </c>
      <c r="C20" s="5">
        <v>39</v>
      </c>
    </row>
    <row r="21" spans="1:3" x14ac:dyDescent="0.45">
      <c r="A21" t="s">
        <v>11</v>
      </c>
      <c r="B21" t="s">
        <v>59</v>
      </c>
      <c r="C21" s="5">
        <v>10</v>
      </c>
    </row>
    <row r="22" spans="1:3" x14ac:dyDescent="0.45">
      <c r="A22" t="s">
        <v>12</v>
      </c>
      <c r="B22" t="s">
        <v>60</v>
      </c>
      <c r="C22" s="5">
        <v>11</v>
      </c>
    </row>
    <row r="23" spans="1:3" x14ac:dyDescent="0.45">
      <c r="A23" t="s">
        <v>43</v>
      </c>
      <c r="B23" t="s">
        <v>90</v>
      </c>
      <c r="C23" s="5">
        <v>45</v>
      </c>
    </row>
    <row r="24" spans="1:3" x14ac:dyDescent="0.45">
      <c r="A24" t="s">
        <v>13</v>
      </c>
      <c r="B24" t="s">
        <v>61</v>
      </c>
      <c r="C24" s="5">
        <v>12</v>
      </c>
    </row>
    <row r="25" spans="1:3" x14ac:dyDescent="0.45">
      <c r="A25" t="s">
        <v>14</v>
      </c>
      <c r="B25" t="s">
        <v>62</v>
      </c>
      <c r="C25" s="5">
        <v>13</v>
      </c>
    </row>
    <row r="26" spans="1:3" x14ac:dyDescent="0.45">
      <c r="A26" t="s">
        <v>16</v>
      </c>
      <c r="B26" t="s">
        <v>64</v>
      </c>
      <c r="C26" s="5">
        <v>15</v>
      </c>
    </row>
    <row r="27" spans="1:3" x14ac:dyDescent="0.45">
      <c r="A27" t="s">
        <v>46</v>
      </c>
      <c r="B27" t="s">
        <v>93</v>
      </c>
      <c r="C27" s="5">
        <v>86</v>
      </c>
    </row>
    <row r="28" spans="1:3" x14ac:dyDescent="0.45">
      <c r="A28" t="s">
        <v>15</v>
      </c>
      <c r="B28" t="s">
        <v>63</v>
      </c>
      <c r="C28" s="5">
        <v>14</v>
      </c>
    </row>
    <row r="29" spans="1:3" x14ac:dyDescent="0.45">
      <c r="A29" t="s">
        <v>17</v>
      </c>
      <c r="B29" t="s">
        <v>65</v>
      </c>
      <c r="C29" s="5">
        <v>16</v>
      </c>
    </row>
    <row r="30" spans="1:3" x14ac:dyDescent="0.45">
      <c r="A30" t="s">
        <v>18</v>
      </c>
      <c r="B30" t="s">
        <v>66</v>
      </c>
      <c r="C30" s="5">
        <v>17</v>
      </c>
    </row>
    <row r="31" spans="1:3" x14ac:dyDescent="0.45">
      <c r="A31" t="s">
        <v>44</v>
      </c>
      <c r="B31" t="s">
        <v>91</v>
      </c>
      <c r="C31" s="5">
        <v>46</v>
      </c>
    </row>
    <row r="32" spans="1:3" x14ac:dyDescent="0.45">
      <c r="A32" t="s">
        <v>40</v>
      </c>
      <c r="B32" t="s">
        <v>87</v>
      </c>
      <c r="C32" s="5">
        <v>42</v>
      </c>
    </row>
    <row r="33" spans="1:3" x14ac:dyDescent="0.45">
      <c r="A33" t="s">
        <v>19</v>
      </c>
      <c r="B33" t="s">
        <v>67</v>
      </c>
      <c r="C33" s="5">
        <v>18</v>
      </c>
    </row>
    <row r="34" spans="1:3" x14ac:dyDescent="0.45">
      <c r="A34" t="s">
        <v>26</v>
      </c>
      <c r="B34" t="s">
        <v>74</v>
      </c>
      <c r="C34" s="5">
        <v>25</v>
      </c>
    </row>
    <row r="35" spans="1:3" x14ac:dyDescent="0.45">
      <c r="A35" t="s">
        <v>28</v>
      </c>
      <c r="B35" t="s">
        <v>76</v>
      </c>
      <c r="C35" s="5">
        <v>27</v>
      </c>
    </row>
    <row r="36" spans="1:3" x14ac:dyDescent="0.45">
      <c r="A36" t="s">
        <v>20</v>
      </c>
      <c r="B36" t="s">
        <v>68</v>
      </c>
      <c r="C36" s="5">
        <v>19</v>
      </c>
    </row>
    <row r="37" spans="1:3" x14ac:dyDescent="0.45">
      <c r="A37" t="s">
        <v>24</v>
      </c>
      <c r="B37" t="s">
        <v>72</v>
      </c>
      <c r="C37" s="5">
        <v>23</v>
      </c>
    </row>
    <row r="38" spans="1:3" x14ac:dyDescent="0.45">
      <c r="A38" t="s">
        <v>27</v>
      </c>
      <c r="B38" t="s">
        <v>75</v>
      </c>
      <c r="C38" s="5">
        <v>26</v>
      </c>
    </row>
    <row r="39" spans="1:3" x14ac:dyDescent="0.45">
      <c r="A39" t="s">
        <v>22</v>
      </c>
      <c r="B39" t="s">
        <v>70</v>
      </c>
      <c r="C39" s="5">
        <v>21</v>
      </c>
    </row>
    <row r="40" spans="1:3" x14ac:dyDescent="0.45">
      <c r="A40" t="s">
        <v>38</v>
      </c>
      <c r="B40" t="s">
        <v>85</v>
      </c>
      <c r="C40" s="5">
        <v>40</v>
      </c>
    </row>
    <row r="41" spans="1:3" x14ac:dyDescent="0.45">
      <c r="A41" t="s">
        <v>21</v>
      </c>
      <c r="B41" t="s">
        <v>69</v>
      </c>
      <c r="C41" s="5">
        <v>20</v>
      </c>
    </row>
    <row r="42" spans="1:3" x14ac:dyDescent="0.45">
      <c r="A42" t="s">
        <v>39</v>
      </c>
      <c r="B42" t="s">
        <v>86</v>
      </c>
      <c r="C42" s="5">
        <v>41</v>
      </c>
    </row>
    <row r="43" spans="1:3" x14ac:dyDescent="0.45">
      <c r="A43" t="s">
        <v>25</v>
      </c>
      <c r="B43" t="s">
        <v>73</v>
      </c>
      <c r="C43" s="5">
        <v>24</v>
      </c>
    </row>
    <row r="44" spans="1:3" x14ac:dyDescent="0.45">
      <c r="A44" t="s">
        <v>23</v>
      </c>
      <c r="B44" t="s">
        <v>71</v>
      </c>
      <c r="C44" s="5">
        <v>22</v>
      </c>
    </row>
    <row r="45" spans="1:3" x14ac:dyDescent="0.45">
      <c r="A45" t="s">
        <v>42</v>
      </c>
      <c r="B45" t="s">
        <v>89</v>
      </c>
      <c r="C45" s="5">
        <v>44</v>
      </c>
    </row>
  </sheetData>
  <sheetProtection algorithmName="SHA-512" hashValue="Geh/o8jf5/Q96EaUFt4F+EFnarLhFz5yxj6Hw/gtvofz3zqXQ8BrGLj4XWWi8yBLy/vBaD/uhZTh57qGRBb+tA==" saltValue="MbZJgArTHzaSMC5V5bqzCw==" spinCount="100000" sheet="1" objects="1" scenarios="1"/>
  <phoneticPr fontId="2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A4BCC5-3FD8-4977-A5CB-DA91D23F77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</vt:i4>
      </vt:variant>
    </vt:vector>
  </HeadingPairs>
  <TitlesOfParts>
    <vt:vector size="13" baseType="lpstr">
      <vt:lpstr>Cedula General</vt:lpstr>
      <vt:lpstr>Datos del Contribuyente</vt:lpstr>
      <vt:lpstr>Informacion Exogena</vt:lpstr>
      <vt:lpstr>Nuevo Formulario</vt:lpstr>
      <vt:lpstr>Motor</vt:lpstr>
      <vt:lpstr>Vencimientos</vt:lpstr>
      <vt:lpstr>UVT</vt:lpstr>
      <vt:lpstr>Patrimonio</vt:lpstr>
      <vt:lpstr>Cedula Dividendos</vt:lpstr>
      <vt:lpstr>Ganancia Ocasional</vt:lpstr>
      <vt:lpstr>Cedula Pensiones</vt:lpstr>
      <vt:lpstr>Tipos</vt:lpstr>
      <vt:lpstr>'Nuevo Formulario'!Área_de_impresión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Darwin Steven Berrio Alvarez</cp:lastModifiedBy>
  <cp:lastPrinted>2022-06-02T23:31:24Z</cp:lastPrinted>
  <dcterms:created xsi:type="dcterms:W3CDTF">2019-09-10T17:07:05Z</dcterms:created>
  <dcterms:modified xsi:type="dcterms:W3CDTF">2023-06-14T02:54:08Z</dcterms:modified>
</cp:coreProperties>
</file>