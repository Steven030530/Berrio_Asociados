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rwi\Desktop\Page_BerrioA\Static_files\"/>
    </mc:Choice>
  </mc:AlternateContent>
  <xr:revisionPtr revIDLastSave="0" documentId="13_ncr:1_{A745521E-1D58-49D2-87B3-9B050D219A87}" xr6:coauthVersionLast="47" xr6:coauthVersionMax="47" xr10:uidLastSave="{00000000-0000-0000-0000-000000000000}"/>
  <bookViews>
    <workbookView xWindow="-98" yWindow="-98" windowWidth="22695" windowHeight="14476" tabRatio="703" xr2:uid="{00000000-000D-0000-FFFF-FFFF00000000}"/>
  </bookViews>
  <sheets>
    <sheet name="Menú" sheetId="7" r:id="rId1"/>
    <sheet name="Ventas" sheetId="1" state="hidden" r:id="rId2"/>
    <sheet name="Gastos" sheetId="4" state="hidden" r:id="rId3"/>
    <sheet name="Financiacion" sheetId="3" state="hidden" r:id="rId4"/>
    <sheet name="Balances" sheetId="5" state="hidden" r:id="rId5"/>
    <sheet name="Simulacion" sheetId="6" state="hidden" r:id="rId6"/>
  </sheets>
  <definedNames>
    <definedName name="_xlnm.Print_Area" localSheetId="0">Menú!$B$2:$J$26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4" l="1"/>
  <c r="C18" i="4"/>
  <c r="C15" i="6" l="1"/>
  <c r="C16" i="6"/>
  <c r="C19" i="1"/>
  <c r="C20" i="1"/>
  <c r="C18" i="6"/>
  <c r="C19" i="6"/>
  <c r="C20" i="6"/>
  <c r="C21" i="6"/>
  <c r="C22" i="6"/>
  <c r="C23" i="6"/>
  <c r="C24" i="6"/>
  <c r="C17" i="6"/>
  <c r="C22" i="1"/>
  <c r="C23" i="1"/>
  <c r="C24" i="1"/>
  <c r="C25" i="1"/>
  <c r="C26" i="1"/>
  <c r="C27" i="1"/>
  <c r="C28" i="1"/>
  <c r="C21" i="1"/>
  <c r="C31" i="5"/>
  <c r="D11" i="5"/>
  <c r="G27" i="4"/>
  <c r="G28" i="4"/>
  <c r="N5" i="1"/>
  <c r="N6" i="1"/>
  <c r="O6" i="1" s="1"/>
  <c r="N7" i="1"/>
  <c r="O7" i="1" s="1"/>
  <c r="N8" i="1"/>
  <c r="O8" i="1" s="1"/>
  <c r="N9" i="1"/>
  <c r="O9" i="1" s="1"/>
  <c r="N10" i="1"/>
  <c r="O10" i="1" s="1"/>
  <c r="N11" i="1"/>
  <c r="O11" i="1" s="1"/>
  <c r="N12" i="1"/>
  <c r="O12" i="1" s="1"/>
  <c r="N13" i="1"/>
  <c r="O13" i="1" s="1"/>
  <c r="N14" i="1"/>
  <c r="O14" i="1" s="1"/>
  <c r="C39" i="6"/>
  <c r="C40" i="6" s="1"/>
  <c r="C41" i="6" s="1"/>
  <c r="C42" i="6" s="1"/>
  <c r="C43" i="6" s="1"/>
  <c r="C44" i="6" s="1"/>
  <c r="C45" i="6" s="1"/>
  <c r="C46" i="6" s="1"/>
  <c r="C47" i="6" s="1"/>
  <c r="D39" i="6"/>
  <c r="D40" i="6"/>
  <c r="D41" i="6"/>
  <c r="D42" i="6"/>
  <c r="D43" i="6"/>
  <c r="D44" i="6"/>
  <c r="D45" i="6"/>
  <c r="D46" i="6"/>
  <c r="D47" i="6"/>
  <c r="D38" i="6"/>
  <c r="G10" i="5" l="1"/>
  <c r="H10" i="5"/>
  <c r="F10" i="5" l="1"/>
  <c r="E10" i="5"/>
  <c r="D10" i="5"/>
  <c r="K16" i="6" l="1"/>
  <c r="K17" i="6"/>
  <c r="K18" i="6"/>
  <c r="K19" i="6"/>
  <c r="K20" i="6"/>
  <c r="K21" i="6"/>
  <c r="K22" i="6"/>
  <c r="K23" i="6"/>
  <c r="K24" i="6"/>
  <c r="K15" i="6"/>
  <c r="I16" i="6"/>
  <c r="I17" i="6"/>
  <c r="I18" i="6"/>
  <c r="I19" i="6"/>
  <c r="I20" i="6"/>
  <c r="I21" i="6"/>
  <c r="I22" i="6"/>
  <c r="I23" i="6"/>
  <c r="I24" i="6"/>
  <c r="I15" i="6"/>
  <c r="E32" i="6"/>
  <c r="H16" i="6"/>
  <c r="H17" i="6" s="1"/>
  <c r="H18" i="6" s="1"/>
  <c r="H19" i="6" s="1"/>
  <c r="H20" i="6" s="1"/>
  <c r="H21" i="6" s="1"/>
  <c r="H22" i="6" s="1"/>
  <c r="H23" i="6" s="1"/>
  <c r="H24" i="6" s="1"/>
  <c r="H25" i="6" s="1"/>
  <c r="D16" i="6"/>
  <c r="D17" i="6"/>
  <c r="D18" i="6"/>
  <c r="D19" i="6"/>
  <c r="D20" i="6"/>
  <c r="D21" i="6"/>
  <c r="D22" i="6"/>
  <c r="D23" i="6"/>
  <c r="D24" i="6"/>
  <c r="D15" i="6"/>
  <c r="C14" i="6"/>
  <c r="D8" i="5" l="1"/>
  <c r="C51" i="5"/>
  <c r="C47" i="5"/>
  <c r="C24" i="5"/>
  <c r="D24" i="5" s="1"/>
  <c r="C35" i="5"/>
  <c r="D35" i="5" s="1"/>
  <c r="E24" i="5" l="1"/>
  <c r="C37" i="5"/>
  <c r="E35" i="5"/>
  <c r="F24" i="5" l="1"/>
  <c r="G24" i="5" s="1"/>
  <c r="F35" i="5"/>
  <c r="H24" i="5" l="1"/>
  <c r="G35" i="5"/>
  <c r="H35" i="5" l="1"/>
  <c r="E10" i="3" l="1"/>
  <c r="E9" i="3"/>
  <c r="F9" i="4"/>
  <c r="F23" i="4"/>
  <c r="D9" i="5" s="1"/>
  <c r="E9" i="5" s="1"/>
  <c r="F9" i="5" s="1"/>
  <c r="G9" i="5" s="1"/>
  <c r="H9" i="5" s="1"/>
  <c r="E11" i="3" l="1"/>
  <c r="D32" i="6"/>
  <c r="D4" i="3"/>
  <c r="C25" i="5"/>
  <c r="D26" i="5"/>
  <c r="D51" i="5" s="1"/>
  <c r="E11" i="5"/>
  <c r="E8" i="5"/>
  <c r="F8" i="5" s="1"/>
  <c r="G8" i="5" s="1"/>
  <c r="T18" i="1"/>
  <c r="U18" i="1"/>
  <c r="X18" i="1"/>
  <c r="Y18" i="1"/>
  <c r="AA4" i="1"/>
  <c r="AB18" i="1"/>
  <c r="R20" i="1"/>
  <c r="R21" i="1"/>
  <c r="S21" i="1" s="1"/>
  <c r="T21" i="1" s="1"/>
  <c r="R22" i="1"/>
  <c r="S22" i="1" s="1"/>
  <c r="T22" i="1" s="1"/>
  <c r="U22" i="1" s="1"/>
  <c r="R23" i="1"/>
  <c r="S23" i="1" s="1"/>
  <c r="T23" i="1" s="1"/>
  <c r="R24" i="1"/>
  <c r="R25" i="1"/>
  <c r="R26" i="1"/>
  <c r="R27" i="1"/>
  <c r="S27" i="1" s="1"/>
  <c r="T27" i="1" s="1"/>
  <c r="R28" i="1"/>
  <c r="S28" i="1" s="1"/>
  <c r="T28" i="1" s="1"/>
  <c r="U28" i="1" s="1"/>
  <c r="R19" i="1"/>
  <c r="R18" i="1"/>
  <c r="S18" i="1"/>
  <c r="V18" i="1"/>
  <c r="W18" i="1"/>
  <c r="R6" i="1"/>
  <c r="S6" i="1" s="1"/>
  <c r="T6" i="1" s="1"/>
  <c r="U6" i="1" s="1"/>
  <c r="R7" i="1"/>
  <c r="S7" i="1" s="1"/>
  <c r="T7" i="1" s="1"/>
  <c r="U7" i="1" s="1"/>
  <c r="R8" i="1"/>
  <c r="S8" i="1" s="1"/>
  <c r="T8" i="1" s="1"/>
  <c r="U8" i="1" s="1"/>
  <c r="R9" i="1"/>
  <c r="S9" i="1" s="1"/>
  <c r="T9" i="1" s="1"/>
  <c r="U9" i="1" s="1"/>
  <c r="R10" i="1"/>
  <c r="S10" i="1" s="1"/>
  <c r="T10" i="1" s="1"/>
  <c r="U10" i="1" s="1"/>
  <c r="R11" i="1"/>
  <c r="S11" i="1" s="1"/>
  <c r="T11" i="1" s="1"/>
  <c r="U11" i="1" s="1"/>
  <c r="R12" i="1"/>
  <c r="S12" i="1" s="1"/>
  <c r="T12" i="1" s="1"/>
  <c r="U12" i="1" s="1"/>
  <c r="R13" i="1"/>
  <c r="S13" i="1" s="1"/>
  <c r="T13" i="1" s="1"/>
  <c r="U13" i="1" s="1"/>
  <c r="R14" i="1"/>
  <c r="S14" i="1" s="1"/>
  <c r="T14" i="1" s="1"/>
  <c r="U14" i="1" s="1"/>
  <c r="R5" i="1"/>
  <c r="S5" i="1" s="1"/>
  <c r="T5" i="1" s="1"/>
  <c r="U5" i="1" s="1"/>
  <c r="P7" i="1"/>
  <c r="Q7" i="1" s="1"/>
  <c r="P8" i="1"/>
  <c r="Q8" i="1" s="1"/>
  <c r="P9" i="1"/>
  <c r="Q9" i="1" s="1"/>
  <c r="P12" i="1"/>
  <c r="Q12" i="1" s="1"/>
  <c r="P13" i="1"/>
  <c r="Q13" i="1" s="1"/>
  <c r="P14" i="1"/>
  <c r="Q14" i="1" s="1"/>
  <c r="O5" i="1"/>
  <c r="P5" i="1" s="1"/>
  <c r="Q5" i="1" s="1"/>
  <c r="E29" i="1"/>
  <c r="F6" i="1"/>
  <c r="F7" i="1"/>
  <c r="F8" i="1"/>
  <c r="F9" i="1"/>
  <c r="F10" i="1"/>
  <c r="F11" i="1"/>
  <c r="F12" i="1"/>
  <c r="F13" i="1"/>
  <c r="F14" i="1"/>
  <c r="F5" i="1"/>
  <c r="D20" i="1"/>
  <c r="F20" i="1" s="1"/>
  <c r="D21" i="1"/>
  <c r="F21" i="1" s="1"/>
  <c r="D22" i="1"/>
  <c r="F22" i="1" s="1"/>
  <c r="D23" i="1"/>
  <c r="N23" i="1" s="1"/>
  <c r="O23" i="1" s="1"/>
  <c r="P23" i="1" s="1"/>
  <c r="Q23" i="1" s="1"/>
  <c r="D24" i="1"/>
  <c r="F24" i="1" s="1"/>
  <c r="D25" i="1"/>
  <c r="F25" i="1" s="1"/>
  <c r="D26" i="1"/>
  <c r="F26" i="1" s="1"/>
  <c r="D27" i="1"/>
  <c r="F27" i="1" s="1"/>
  <c r="D28" i="1"/>
  <c r="F28" i="1" s="1"/>
  <c r="D19" i="1"/>
  <c r="F19" i="1" s="1"/>
  <c r="B19" i="1"/>
  <c r="B6" i="1"/>
  <c r="B20" i="1" s="1"/>
  <c r="D4" i="5" l="1"/>
  <c r="D21" i="5" s="1"/>
  <c r="E7" i="6" s="1"/>
  <c r="F9" i="3"/>
  <c r="H8" i="5"/>
  <c r="AB4" i="1"/>
  <c r="AC4" i="1" s="1"/>
  <c r="D33" i="6"/>
  <c r="D34" i="6" s="1"/>
  <c r="G33" i="6"/>
  <c r="Y14" i="1"/>
  <c r="Y13" i="1"/>
  <c r="Y12" i="1"/>
  <c r="Y9" i="1"/>
  <c r="Y8" i="1"/>
  <c r="Y7" i="1"/>
  <c r="Y5" i="1"/>
  <c r="C27" i="5"/>
  <c r="C50" i="5" s="1"/>
  <c r="C52" i="5" s="1"/>
  <c r="D25" i="5"/>
  <c r="F11" i="5"/>
  <c r="G11" i="5" s="1"/>
  <c r="E26" i="5"/>
  <c r="E51" i="5" s="1"/>
  <c r="AC18" i="1"/>
  <c r="N4" i="1"/>
  <c r="N18" i="1" s="1"/>
  <c r="U27" i="1"/>
  <c r="U23" i="1"/>
  <c r="Y23" i="1" s="1"/>
  <c r="X23" i="1"/>
  <c r="U21" i="1"/>
  <c r="X14" i="1"/>
  <c r="X12" i="1"/>
  <c r="X8" i="1"/>
  <c r="X5" i="1"/>
  <c r="X13" i="1"/>
  <c r="X9" i="1"/>
  <c r="X7" i="1"/>
  <c r="AB27" i="1"/>
  <c r="AC27" i="1" s="1"/>
  <c r="AD27" i="1" s="1"/>
  <c r="AE27" i="1" s="1"/>
  <c r="N21" i="1"/>
  <c r="O21" i="1" s="1"/>
  <c r="N19" i="1"/>
  <c r="O19" i="1" s="1"/>
  <c r="P19" i="1" s="1"/>
  <c r="Q19" i="1" s="1"/>
  <c r="N20" i="1"/>
  <c r="O20" i="1" s="1"/>
  <c r="P20" i="1" s="1"/>
  <c r="Q20" i="1" s="1"/>
  <c r="N25" i="1"/>
  <c r="O25" i="1" s="1"/>
  <c r="P25" i="1" s="1"/>
  <c r="Q25" i="1" s="1"/>
  <c r="S25" i="1"/>
  <c r="T25" i="1" s="1"/>
  <c r="U25" i="1" s="1"/>
  <c r="N24" i="1"/>
  <c r="O24" i="1" s="1"/>
  <c r="P24" i="1" s="1"/>
  <c r="Q24" i="1" s="1"/>
  <c r="B7" i="1"/>
  <c r="B8" i="1" s="1"/>
  <c r="B9" i="1" s="1"/>
  <c r="B10" i="1" s="1"/>
  <c r="B11" i="1" s="1"/>
  <c r="B12" i="1" s="1"/>
  <c r="B13" i="1" s="1"/>
  <c r="B14" i="1" s="1"/>
  <c r="B28" i="1" s="1"/>
  <c r="F23" i="1"/>
  <c r="F29" i="1" s="1"/>
  <c r="N27" i="1"/>
  <c r="O27" i="1" s="1"/>
  <c r="W23" i="1"/>
  <c r="S19" i="1"/>
  <c r="T19" i="1" s="1"/>
  <c r="U19" i="1" s="1"/>
  <c r="N28" i="1"/>
  <c r="O28" i="1" s="1"/>
  <c r="W8" i="1"/>
  <c r="N26" i="1"/>
  <c r="O26" i="1" s="1"/>
  <c r="P26" i="1" s="1"/>
  <c r="Q26" i="1" s="1"/>
  <c r="N22" i="1"/>
  <c r="O22" i="1" s="1"/>
  <c r="S26" i="1"/>
  <c r="T26" i="1" s="1"/>
  <c r="S24" i="1"/>
  <c r="T24" i="1" s="1"/>
  <c r="U24" i="1" s="1"/>
  <c r="S20" i="1"/>
  <c r="T20" i="1" s="1"/>
  <c r="V23" i="1"/>
  <c r="V11" i="1"/>
  <c r="W7" i="1"/>
  <c r="W12" i="1"/>
  <c r="V5" i="1"/>
  <c r="V12" i="1"/>
  <c r="V8" i="1"/>
  <c r="W13" i="1"/>
  <c r="W9" i="1"/>
  <c r="W5" i="1"/>
  <c r="V7" i="1"/>
  <c r="W14" i="1"/>
  <c r="V14" i="1"/>
  <c r="V10" i="1"/>
  <c r="V6" i="1"/>
  <c r="V13" i="1"/>
  <c r="V9" i="1"/>
  <c r="F15" i="1"/>
  <c r="E4" i="5" l="1"/>
  <c r="E21" i="5" s="1"/>
  <c r="F7" i="6" s="1"/>
  <c r="F10" i="3"/>
  <c r="D45" i="5"/>
  <c r="H11" i="5"/>
  <c r="G26" i="5"/>
  <c r="AD4" i="1"/>
  <c r="O4" i="1"/>
  <c r="B23" i="1"/>
  <c r="G26" i="1"/>
  <c r="G23" i="1"/>
  <c r="G27" i="1"/>
  <c r="G20" i="1"/>
  <c r="G24" i="1"/>
  <c r="G28" i="1"/>
  <c r="G21" i="1"/>
  <c r="G25" i="1"/>
  <c r="G19" i="1"/>
  <c r="G22" i="1"/>
  <c r="G6" i="1"/>
  <c r="E16" i="6" s="1"/>
  <c r="F16" i="6" s="1"/>
  <c r="G7" i="1"/>
  <c r="E17" i="6" s="1"/>
  <c r="F17" i="6" s="1"/>
  <c r="G11" i="1"/>
  <c r="E21" i="6" s="1"/>
  <c r="F21" i="6" s="1"/>
  <c r="G5" i="1"/>
  <c r="E15" i="6" s="1"/>
  <c r="F15" i="6" s="1"/>
  <c r="G8" i="1"/>
  <c r="E18" i="6" s="1"/>
  <c r="F18" i="6" s="1"/>
  <c r="G12" i="1"/>
  <c r="E22" i="6" s="1"/>
  <c r="F22" i="6" s="1"/>
  <c r="G9" i="1"/>
  <c r="E19" i="6" s="1"/>
  <c r="F19" i="6" s="1"/>
  <c r="G13" i="1"/>
  <c r="E23" i="6" s="1"/>
  <c r="F23" i="6" s="1"/>
  <c r="G10" i="1"/>
  <c r="E20" i="6" s="1"/>
  <c r="F20" i="6" s="1"/>
  <c r="G14" i="1"/>
  <c r="E24" i="6" s="1"/>
  <c r="F24" i="6" s="1"/>
  <c r="AB20" i="1"/>
  <c r="AB19" i="1"/>
  <c r="D5" i="5" s="1"/>
  <c r="Y25" i="1"/>
  <c r="Y24" i="1"/>
  <c r="W28" i="1"/>
  <c r="P28" i="1"/>
  <c r="W27" i="1"/>
  <c r="P27" i="1"/>
  <c r="W11" i="1"/>
  <c r="P11" i="1"/>
  <c r="W10" i="1"/>
  <c r="P10" i="1"/>
  <c r="W22" i="1"/>
  <c r="P22" i="1"/>
  <c r="W21" i="1"/>
  <c r="P21" i="1"/>
  <c r="W6" i="1"/>
  <c r="P6" i="1"/>
  <c r="Y19" i="1"/>
  <c r="E25" i="5"/>
  <c r="D27" i="5"/>
  <c r="D50" i="5" s="1"/>
  <c r="D52" i="5" s="1"/>
  <c r="F26" i="5"/>
  <c r="F51" i="5" s="1"/>
  <c r="AD18" i="1"/>
  <c r="X25" i="1"/>
  <c r="U20" i="1"/>
  <c r="Y20" i="1" s="1"/>
  <c r="X20" i="1"/>
  <c r="X24" i="1"/>
  <c r="X19" i="1"/>
  <c r="U26" i="1"/>
  <c r="Y26" i="1" s="1"/>
  <c r="X26" i="1"/>
  <c r="V20" i="1"/>
  <c r="B26" i="1"/>
  <c r="B21" i="1"/>
  <c r="W25" i="1"/>
  <c r="W20" i="1"/>
  <c r="V27" i="1"/>
  <c r="W24" i="1"/>
  <c r="V24" i="1"/>
  <c r="B27" i="1"/>
  <c r="B24" i="1"/>
  <c r="V25" i="1"/>
  <c r="B25" i="1"/>
  <c r="B22" i="1"/>
  <c r="W26" i="1"/>
  <c r="V22" i="1"/>
  <c r="W19" i="1"/>
  <c r="V19" i="1"/>
  <c r="V28" i="1"/>
  <c r="V26" i="1"/>
  <c r="V21" i="1"/>
  <c r="V15" i="1"/>
  <c r="AC19" i="1" s="1"/>
  <c r="E5" i="5" s="1"/>
  <c r="E45" i="5" l="1"/>
  <c r="F4" i="5"/>
  <c r="F21" i="5" s="1"/>
  <c r="G7" i="6" s="1"/>
  <c r="F11" i="3"/>
  <c r="H26" i="5"/>
  <c r="E8" i="3"/>
  <c r="E13" i="3" s="1"/>
  <c r="E14" i="3" s="1"/>
  <c r="D8" i="6" s="1"/>
  <c r="O18" i="1"/>
  <c r="P4" i="1"/>
  <c r="F26" i="6"/>
  <c r="F27" i="6" s="1"/>
  <c r="D6" i="5"/>
  <c r="D7" i="5" s="1"/>
  <c r="W15" i="1"/>
  <c r="AD19" i="1" s="1"/>
  <c r="F5" i="5" s="1"/>
  <c r="G29" i="1"/>
  <c r="G15" i="1"/>
  <c r="AB21" i="1"/>
  <c r="Q28" i="1"/>
  <c r="Y28" i="1" s="1"/>
  <c r="X28" i="1"/>
  <c r="Q27" i="1"/>
  <c r="Y27" i="1" s="1"/>
  <c r="X27" i="1"/>
  <c r="Q11" i="1"/>
  <c r="Y11" i="1" s="1"/>
  <c r="X11" i="1"/>
  <c r="Q10" i="1"/>
  <c r="Y10" i="1" s="1"/>
  <c r="X10" i="1"/>
  <c r="Q22" i="1"/>
  <c r="Y22" i="1" s="1"/>
  <c r="X22" i="1"/>
  <c r="Q21" i="1"/>
  <c r="Y21" i="1" s="1"/>
  <c r="X21" i="1"/>
  <c r="Q6" i="1"/>
  <c r="Y6" i="1" s="1"/>
  <c r="X6" i="1"/>
  <c r="F25" i="5"/>
  <c r="G25" i="5" s="1"/>
  <c r="E27" i="5"/>
  <c r="E50" i="5" s="1"/>
  <c r="E52" i="5" s="1"/>
  <c r="G51" i="5"/>
  <c r="AE18" i="1"/>
  <c r="W29" i="1"/>
  <c r="AD20" i="1" s="1"/>
  <c r="V29" i="1"/>
  <c r="AC20" i="1" s="1"/>
  <c r="F45" i="5" l="1"/>
  <c r="G4" i="5"/>
  <c r="G21" i="5" s="1"/>
  <c r="H7" i="6" s="1"/>
  <c r="F12" i="3"/>
  <c r="H25" i="5"/>
  <c r="H27" i="5" s="1"/>
  <c r="G27" i="5"/>
  <c r="E16" i="3"/>
  <c r="P18" i="1"/>
  <c r="Q4" i="1"/>
  <c r="Q18" i="1" s="1"/>
  <c r="D12" i="5"/>
  <c r="D57" i="5" s="1"/>
  <c r="D58" i="5" s="1"/>
  <c r="D59" i="5" s="1"/>
  <c r="G23" i="6"/>
  <c r="E46" i="6" s="1"/>
  <c r="F46" i="6" s="1"/>
  <c r="G24" i="6"/>
  <c r="E47" i="6" s="1"/>
  <c r="F47" i="6" s="1"/>
  <c r="G19" i="6"/>
  <c r="E42" i="6" s="1"/>
  <c r="F42" i="6" s="1"/>
  <c r="G20" i="6"/>
  <c r="E43" i="6" s="1"/>
  <c r="F43" i="6" s="1"/>
  <c r="G16" i="6"/>
  <c r="E39" i="6" s="1"/>
  <c r="F39" i="6" s="1"/>
  <c r="G18" i="6"/>
  <c r="E41" i="6" s="1"/>
  <c r="F41" i="6" s="1"/>
  <c r="G15" i="6"/>
  <c r="E38" i="6" s="1"/>
  <c r="F38" i="6" s="1"/>
  <c r="G17" i="6"/>
  <c r="E40" i="6" s="1"/>
  <c r="F40" i="6" s="1"/>
  <c r="G21" i="6"/>
  <c r="E44" i="6" s="1"/>
  <c r="F44" i="6" s="1"/>
  <c r="G22" i="6"/>
  <c r="E45" i="6" s="1"/>
  <c r="F45" i="6" s="1"/>
  <c r="X15" i="1"/>
  <c r="X29" i="1"/>
  <c r="AE20" i="1" s="1"/>
  <c r="G6" i="5" s="1"/>
  <c r="Y29" i="1"/>
  <c r="Y15" i="1"/>
  <c r="F27" i="5"/>
  <c r="F50" i="5" s="1"/>
  <c r="F52" i="5" s="1"/>
  <c r="H51" i="5"/>
  <c r="AC21" i="1"/>
  <c r="E6" i="5"/>
  <c r="E7" i="5" s="1"/>
  <c r="AD21" i="1"/>
  <c r="F6" i="5"/>
  <c r="F7" i="5" s="1"/>
  <c r="AF18" i="1"/>
  <c r="F13" i="3" s="1"/>
  <c r="F48" i="6" l="1"/>
  <c r="F28" i="6" s="1"/>
  <c r="G45" i="5"/>
  <c r="K8" i="3"/>
  <c r="C32" i="5" s="1"/>
  <c r="C33" i="5" s="1"/>
  <c r="C39" i="5" s="1"/>
  <c r="C23" i="5" s="1"/>
  <c r="C46" i="5" s="1"/>
  <c r="C48" i="5" s="1"/>
  <c r="C54" i="5" s="1"/>
  <c r="AF20" i="1"/>
  <c r="H6" i="5" s="1"/>
  <c r="AF19" i="1"/>
  <c r="H5" i="5" s="1"/>
  <c r="AE19" i="1"/>
  <c r="G5" i="5" s="1"/>
  <c r="G7" i="5" s="1"/>
  <c r="G12" i="5" s="1"/>
  <c r="E12" i="5"/>
  <c r="E57" i="5" s="1"/>
  <c r="E58" i="5" s="1"/>
  <c r="E59" i="5" s="1"/>
  <c r="F12" i="5"/>
  <c r="F57" i="5" s="1"/>
  <c r="F58" i="5" s="1"/>
  <c r="F59" i="5" s="1"/>
  <c r="F33" i="6"/>
  <c r="G34" i="6" s="1"/>
  <c r="E33" i="6"/>
  <c r="G25" i="6"/>
  <c r="C33" i="6" s="1"/>
  <c r="C34" i="6" s="1"/>
  <c r="H50" i="5"/>
  <c r="H52" i="5" s="1"/>
  <c r="G50" i="5"/>
  <c r="G52" i="5" s="1"/>
  <c r="H4" i="5"/>
  <c r="H21" i="5" s="1"/>
  <c r="I7" i="6" s="1"/>
  <c r="AF21" i="1" l="1"/>
  <c r="AE21" i="1"/>
  <c r="H7" i="5"/>
  <c r="H12" i="5" s="1"/>
  <c r="H57" i="5" s="1"/>
  <c r="H58" i="5" s="1"/>
  <c r="H59" i="5" s="1"/>
  <c r="C28" i="5"/>
  <c r="C40" i="5" s="1"/>
  <c r="J9" i="3"/>
  <c r="G9" i="3"/>
  <c r="H9" i="3" s="1"/>
  <c r="D13" i="5" s="1"/>
  <c r="D14" i="5" s="1"/>
  <c r="D15" i="5" s="1"/>
  <c r="D30" i="5" s="1"/>
  <c r="D31" i="5" s="1"/>
  <c r="G57" i="5"/>
  <c r="G58" i="5" s="1"/>
  <c r="G59" i="5" s="1"/>
  <c r="J16" i="6"/>
  <c r="J17" i="6"/>
  <c r="J22" i="6"/>
  <c r="J20" i="6"/>
  <c r="J21" i="6"/>
  <c r="J23" i="6"/>
  <c r="J24" i="6"/>
  <c r="J15" i="6"/>
  <c r="J19" i="6"/>
  <c r="J18" i="6"/>
  <c r="H45" i="5"/>
  <c r="D16" i="5" l="1"/>
  <c r="D36" i="5" s="1"/>
  <c r="D37" i="5" s="1"/>
  <c r="I9" i="3"/>
  <c r="K9" i="3" s="1"/>
  <c r="J10" i="3" s="1"/>
  <c r="F34" i="6"/>
  <c r="G35" i="6" s="1"/>
  <c r="E34" i="6"/>
  <c r="D47" i="5"/>
  <c r="G10" i="3" l="1"/>
  <c r="H10" i="3" s="1"/>
  <c r="E13" i="5" s="1"/>
  <c r="E14" i="5" s="1"/>
  <c r="E15" i="5" s="1"/>
  <c r="E30" i="5" s="1"/>
  <c r="D32" i="5"/>
  <c r="D33" i="5" s="1"/>
  <c r="D39" i="5" s="1"/>
  <c r="D23" i="5" s="1"/>
  <c r="E47" i="5" l="1"/>
  <c r="E31" i="5"/>
  <c r="I10" i="3"/>
  <c r="K10" i="3" s="1"/>
  <c r="E32" i="5" s="1"/>
  <c r="E16" i="5"/>
  <c r="E36" i="5" s="1"/>
  <c r="E37" i="5" s="1"/>
  <c r="D28" i="5"/>
  <c r="D40" i="5" s="1"/>
  <c r="D46" i="5"/>
  <c r="D48" i="5" s="1"/>
  <c r="D54" i="5" s="1"/>
  <c r="D60" i="5" s="1"/>
  <c r="J11" i="3" l="1"/>
  <c r="G11" i="3"/>
  <c r="H11" i="3" s="1"/>
  <c r="F13" i="5" s="1"/>
  <c r="F14" i="5" s="1"/>
  <c r="F15" i="5" s="1"/>
  <c r="F30" i="5" s="1"/>
  <c r="F31" i="5" s="1"/>
  <c r="E33" i="5"/>
  <c r="E39" i="5" s="1"/>
  <c r="E23" i="5" s="1"/>
  <c r="E28" i="5" s="1"/>
  <c r="E40" i="5" s="1"/>
  <c r="D61" i="5"/>
  <c r="E8" i="6" s="1"/>
  <c r="I11" i="3" l="1"/>
  <c r="K11" i="3" s="1"/>
  <c r="J12" i="3" s="1"/>
  <c r="E46" i="5"/>
  <c r="E48" i="5" s="1"/>
  <c r="E54" i="5" s="1"/>
  <c r="F47" i="5"/>
  <c r="F16" i="5"/>
  <c r="F36" i="5" s="1"/>
  <c r="F37" i="5" s="1"/>
  <c r="F32" i="5" l="1"/>
  <c r="F33" i="5" s="1"/>
  <c r="F39" i="5" s="1"/>
  <c r="F23" i="5" s="1"/>
  <c r="F28" i="5" s="1"/>
  <c r="F40" i="5" s="1"/>
  <c r="G12" i="3"/>
  <c r="H12" i="3" s="1"/>
  <c r="G13" i="5" s="1"/>
  <c r="G14" i="5" s="1"/>
  <c r="G15" i="5" s="1"/>
  <c r="G16" i="5" s="1"/>
  <c r="G36" i="5" s="1"/>
  <c r="G37" i="5" s="1"/>
  <c r="E60" i="5"/>
  <c r="E61" i="5" s="1"/>
  <c r="F8" i="6" s="1"/>
  <c r="I12" i="3" l="1"/>
  <c r="K12" i="3" s="1"/>
  <c r="G13" i="3" s="1"/>
  <c r="H13" i="3" s="1"/>
  <c r="H13" i="5" s="1"/>
  <c r="H14" i="5" s="1"/>
  <c r="H15" i="5" s="1"/>
  <c r="H16" i="5" s="1"/>
  <c r="G30" i="5"/>
  <c r="F46" i="5"/>
  <c r="F48" i="5" s="1"/>
  <c r="F54" i="5" s="1"/>
  <c r="G47" i="5" l="1"/>
  <c r="G31" i="5"/>
  <c r="G32" i="5"/>
  <c r="H30" i="5"/>
  <c r="H31" i="5" s="1"/>
  <c r="J13" i="3"/>
  <c r="I13" i="3" s="1"/>
  <c r="K13" i="3" s="1"/>
  <c r="H32" i="5" s="1"/>
  <c r="F60" i="5"/>
  <c r="F61" i="5" s="1"/>
  <c r="G8" i="6" s="1"/>
  <c r="H36" i="5"/>
  <c r="H37" i="5" s="1"/>
  <c r="H33" i="5" l="1"/>
  <c r="H39" i="5" s="1"/>
  <c r="H23" i="5" s="1"/>
  <c r="H47" i="5"/>
  <c r="G33" i="5"/>
  <c r="G39" i="5" s="1"/>
  <c r="G23" i="5" s="1"/>
  <c r="G46" i="5" s="1"/>
  <c r="G48" i="5" s="1"/>
  <c r="G54" i="5" s="1"/>
  <c r="G60" i="5" s="1"/>
  <c r="G61" i="5" s="1"/>
  <c r="H8" i="6" s="1"/>
  <c r="G28" i="5" l="1"/>
  <c r="G40" i="5" s="1"/>
  <c r="H28" i="5"/>
  <c r="H40" i="5" s="1"/>
  <c r="H46" i="5"/>
  <c r="H48" i="5" s="1"/>
  <c r="H54" i="5" s="1"/>
  <c r="H60" i="5" s="1"/>
  <c r="H61" i="5" l="1"/>
  <c r="I8" i="6" s="1"/>
  <c r="E11" i="6" s="1"/>
  <c r="D9" i="6" l="1"/>
  <c r="F9" i="6"/>
  <c r="E9" i="6"/>
  <c r="G9" i="6"/>
  <c r="H9" i="6"/>
  <c r="I9" i="6"/>
  <c r="E10" i="6"/>
  <c r="H10" i="6" l="1"/>
</calcChain>
</file>

<file path=xl/sharedStrings.xml><?xml version="1.0" encoding="utf-8"?>
<sst xmlns="http://schemas.openxmlformats.org/spreadsheetml/2006/main" count="170" uniqueCount="153">
  <si>
    <t>INGRESOS TOTALES</t>
  </si>
  <si>
    <t>NOMBRE DEL PRODUCTO O SERVICIO</t>
  </si>
  <si>
    <t>COSTOS DE CADA PRODUCTO O SERVICIO</t>
  </si>
  <si>
    <t>PRECIO DE VENTA UNITARIO SIN IVA</t>
  </si>
  <si>
    <t>TOTAL</t>
  </si>
  <si>
    <t>AÑO BASE</t>
  </si>
  <si>
    <t>AÑO</t>
  </si>
  <si>
    <t>AÑO 3</t>
  </si>
  <si>
    <t>AÑO 2</t>
  </si>
  <si>
    <t>INFLACIÓN</t>
  </si>
  <si>
    <t>IPP</t>
  </si>
  <si>
    <t>INCREMENTO EN PRECIO</t>
  </si>
  <si>
    <t>año 2</t>
  </si>
  <si>
    <t>año 3</t>
  </si>
  <si>
    <t>VENTAS ANUALES</t>
  </si>
  <si>
    <t>COSTOS ANUALES</t>
  </si>
  <si>
    <t>AÑO 4</t>
  </si>
  <si>
    <t>AÑO 5</t>
  </si>
  <si>
    <t>año 4</t>
  </si>
  <si>
    <t>año 5</t>
  </si>
  <si>
    <t>VENTAS</t>
  </si>
  <si>
    <t>GASTOS FIJOS</t>
  </si>
  <si>
    <t>TOTAL INVERSIONES</t>
  </si>
  <si>
    <t>COSTOS OPERATIVOS</t>
  </si>
  <si>
    <t>MESES</t>
  </si>
  <si>
    <t>VALOR</t>
  </si>
  <si>
    <t>NÓMINAS</t>
  </si>
  <si>
    <t>TOTAL INVERSIÓN</t>
  </si>
  <si>
    <t>APORTE DE LOS EMPRENDEDORES</t>
  </si>
  <si>
    <t>PRÉSTAMO A SOLICITAR</t>
  </si>
  <si>
    <t>TASA DE INT ANUAL CRÉDITO</t>
  </si>
  <si>
    <t>AÑOS</t>
  </si>
  <si>
    <t xml:space="preserve">ACTIVO </t>
  </si>
  <si>
    <t>COSTO VENTAS</t>
  </si>
  <si>
    <t>UTILIDAD BRUTA</t>
  </si>
  <si>
    <t>GASTOS ADTIVOS Y VTAS</t>
  </si>
  <si>
    <t>OTROS GASTOS</t>
  </si>
  <si>
    <t>UTILIDAD OPERATIVA</t>
  </si>
  <si>
    <t>GASTOS FINACIEROS</t>
  </si>
  <si>
    <t>UTILIDAD ANTES DE IMPTOS</t>
  </si>
  <si>
    <t>IMPUESTOS</t>
  </si>
  <si>
    <t>UTILIDAD NETA</t>
  </si>
  <si>
    <t>PASIVO</t>
  </si>
  <si>
    <t>TOTAL PASIVO CORRIENTE</t>
  </si>
  <si>
    <t>PATRIMONIO</t>
  </si>
  <si>
    <t>TOTAL PATRIMONIO</t>
  </si>
  <si>
    <t>TOTAL PAS + PAT</t>
  </si>
  <si>
    <t>TOTAL ACTIVO</t>
  </si>
  <si>
    <t>DEPRECIACIÓN</t>
  </si>
  <si>
    <t>DEPRECIACIÓN ACUMULADA</t>
  </si>
  <si>
    <t>ACTIVO FIJO NETO</t>
  </si>
  <si>
    <t>ESTADO DE RESULTADOS</t>
  </si>
  <si>
    <t>CUADRE (ACT = PAS+PAT)</t>
  </si>
  <si>
    <t>TASA IMPTO RENTA</t>
  </si>
  <si>
    <t>FIJO NO DEPRECIABLE</t>
  </si>
  <si>
    <t>FIJO DEPRECIABLE</t>
  </si>
  <si>
    <t>CAJA/BANCOS</t>
  </si>
  <si>
    <t>CAPITAL INVERTIDO</t>
  </si>
  <si>
    <t>Activos Corrientes</t>
  </si>
  <si>
    <t>Pasivos Corrientes</t>
  </si>
  <si>
    <t>KTNO</t>
  </si>
  <si>
    <t>Activo Fijo Neto</t>
  </si>
  <si>
    <t>Depreciación Acumulada</t>
  </si>
  <si>
    <t>Activo Fijo Bruto</t>
  </si>
  <si>
    <t>Total Capital Operativo Neto</t>
  </si>
  <si>
    <t>CALCULO DEL FLUJO DE CAJA LIBRE</t>
  </si>
  <si>
    <t>EBIT</t>
  </si>
  <si>
    <t>Impuestos</t>
  </si>
  <si>
    <t>NOPLAT</t>
  </si>
  <si>
    <t>Inversión Neta</t>
  </si>
  <si>
    <t>Flujo de Caja Libre del periódo</t>
  </si>
  <si>
    <t xml:space="preserve">Tasa mínima de rentabilidad esperada por los emprendedores (TMR):  </t>
  </si>
  <si>
    <t>VALOR PRESENTE NETO DEL PROYECTO =</t>
  </si>
  <si>
    <t>TASA INTERNA DE RETORNO =</t>
  </si>
  <si>
    <t>INVERSIÓN TOTAL Y NECESIDADES DE FINANCIACIÓN</t>
  </si>
  <si>
    <t xml:space="preserve">CALCULO DEL PRÉSTAMO </t>
  </si>
  <si>
    <t>ESTADOS FINANCIEROS BÁSICOS PROYECTADOS</t>
  </si>
  <si>
    <t>PUNTO DE EQULIBRIO</t>
  </si>
  <si>
    <t>MARGEN DE CONTRIBUCIÓN UNITARIO</t>
  </si>
  <si>
    <t>PARTICIPACIÓN % EN VENTAS TOTALES</t>
  </si>
  <si>
    <t>MARGEN DE CONTRIBUCIÓN PONDERADO</t>
  </si>
  <si>
    <t>UNIDADES</t>
  </si>
  <si>
    <t>PTO EQUILIBRIO POR REFERENCIA DE PDTO O SERVICIO</t>
  </si>
  <si>
    <t>COSTOS FIJO</t>
  </si>
  <si>
    <t>INGRESOS</t>
  </si>
  <si>
    <t>COSTO TOTAL</t>
  </si>
  <si>
    <t>COSTO</t>
  </si>
  <si>
    <t>COSTO VAR</t>
  </si>
  <si>
    <t>PUNTO DE EQULIBRIO = COSTOS Y GTOS FIJO/MCPP    =</t>
  </si>
  <si>
    <t>TOTAL MARGEN DE CONTRIBUCIÓN PROMEDIO PONDERADO  =</t>
  </si>
  <si>
    <t>EVALUACIÓN FINANCIERA Y PUNTO DE EQULIBRIO</t>
  </si>
  <si>
    <t>GASTOS FIJOS DEL PERIODO</t>
  </si>
  <si>
    <t>PERIODO DE RECUPERACIÓN:</t>
  </si>
  <si>
    <t>AÑOS DE CRÉDITO</t>
  </si>
  <si>
    <t xml:space="preserve">PRECIOS </t>
  </si>
  <si>
    <t>TOTAL VENTAS</t>
  </si>
  <si>
    <t>PUNTO DE EQULIBRIO EN PESOS (VALOR VENTAS MÍNIMAS EN TOTAL SIN IVA)</t>
  </si>
  <si>
    <t>ITEM</t>
  </si>
  <si>
    <t>PORCENTAJE</t>
  </si>
  <si>
    <t>CANTIDAD</t>
  </si>
  <si>
    <t>CRECIMIENTO PORCENTUAL  EN VENTAS (CANTIDADES)</t>
  </si>
  <si>
    <t>%</t>
  </si>
  <si>
    <t>PROYECCION DE VENTAS Y COSTOS</t>
  </si>
  <si>
    <t>MARGEN</t>
  </si>
  <si>
    <t>INVERSION INICIAL</t>
  </si>
  <si>
    <t>Terrenos</t>
  </si>
  <si>
    <t>Propiedad Planta Y Equipo</t>
  </si>
  <si>
    <t>Muebles Y Enseres</t>
  </si>
  <si>
    <t>Equipo De Oficina</t>
  </si>
  <si>
    <t>Equipo De Transporte</t>
  </si>
  <si>
    <t>Intengibles</t>
  </si>
  <si>
    <t>Gastos Preoperativos</t>
  </si>
  <si>
    <t>Total Inversiones</t>
  </si>
  <si>
    <t/>
  </si>
  <si>
    <t>Administrativa:</t>
  </si>
  <si>
    <t>Ventas:</t>
  </si>
  <si>
    <t>Producción/Servicio:</t>
  </si>
  <si>
    <t>Total Nóminas</t>
  </si>
  <si>
    <t xml:space="preserve">Presupuesto Del Marketing </t>
  </si>
  <si>
    <t>Marketing Años Siguientes</t>
  </si>
  <si>
    <t>2023</t>
  </si>
  <si>
    <t>2024</t>
  </si>
  <si>
    <t>2025</t>
  </si>
  <si>
    <t>2026</t>
  </si>
  <si>
    <t>Total Gastos Fijos</t>
  </si>
  <si>
    <t>Nóminas</t>
  </si>
  <si>
    <t>Gastos Fijos</t>
  </si>
  <si>
    <t>Activos</t>
  </si>
  <si>
    <t>INGRESOS/VENTAS PRIMER AÑO</t>
  </si>
  <si>
    <t>Arriendo</t>
  </si>
  <si>
    <t>Servicios Publicos</t>
  </si>
  <si>
    <t>Telefonía</t>
  </si>
  <si>
    <t>Internet</t>
  </si>
  <si>
    <t xml:space="preserve">CAPITAL DE TRABAJO </t>
  </si>
  <si>
    <t>Incial</t>
  </si>
  <si>
    <t>Intereses</t>
  </si>
  <si>
    <t>Amortizacion</t>
  </si>
  <si>
    <t>Cuota</t>
  </si>
  <si>
    <t>Saldo Final</t>
  </si>
  <si>
    <t>CONCEPTO</t>
  </si>
  <si>
    <t>ESTADO DE SITUACION FINANCIERA</t>
  </si>
  <si>
    <t>IMPUESTO POR PAGAR</t>
  </si>
  <si>
    <t>OBLIGACIONES FINANCIERAS</t>
  </si>
  <si>
    <t>CAPITAL SOCIAL</t>
  </si>
  <si>
    <t>UTILIDAD DEL EJERCICIO</t>
  </si>
  <si>
    <t>FLUJO DE CAJA DEL PROYECTO</t>
  </si>
  <si>
    <t>AÑO INICIAL</t>
  </si>
  <si>
    <t>AÑO INCIAL</t>
  </si>
  <si>
    <t>Año Inicial</t>
  </si>
  <si>
    <t>FLUJO DE CAJA DE PROYECTADO</t>
  </si>
  <si>
    <t>MARKETING</t>
  </si>
  <si>
    <t>Gasolina</t>
  </si>
  <si>
    <t>Prestamos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</si>
</sst>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;[Red]\-&quot;$&quot;#,##0.00"/>
    <numFmt numFmtId="165" formatCode="_(&quot;$&quot;\ * #,##0.00_);_(&quot;$&quot;\ * \(#,##0.00\);_(&quot;$&quot;\ * &quot;-&quot;??_);_(@_)"/>
    <numFmt numFmtId="166" formatCode="_(* #,##0.00_);_(* \(#,##0.00\);_(* &quot;-&quot;??_);_(@_)"/>
    <numFmt numFmtId="167" formatCode="_(&quot;$&quot;\ * #,##0_);_(&quot;$&quot;\ * \(#,##0\);_(&quot;$&quot;\ * &quot;-&quot;??_);_(@_)"/>
    <numFmt numFmtId="168" formatCode="0.0%"/>
    <numFmt numFmtId="169" formatCode="_ &quot;$&quot;\ * #,##0_ ;_ &quot;$&quot;\ * \-#,##0_ ;_ &quot;$&quot;\ * &quot;-&quot;??_ ;_ @_ "/>
    <numFmt numFmtId="170" formatCode="_(* #,##0_);_(* \(#,##0\);_(* &quot;-&quot;??_);_(@_)"/>
    <numFmt numFmtId="171" formatCode="_ * #,##0.00_ ;_ * \-#,##0.00_ ;_ * &quot;-&quot;??_ ;_ @_ "/>
    <numFmt numFmtId="172" formatCode="_-&quot;$&quot;* #,##0.0_-;\-&quot;$&quot;* #,##0.0_-;_-&quot;$&quot;* &quot;-&quot;??_-;_-@_-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haroni"/>
    </font>
    <font>
      <sz val="11"/>
      <color theme="1"/>
      <name val="Aharoni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8"/>
      <color theme="1"/>
      <name val="Aharoni"/>
    </font>
    <font>
      <sz val="20"/>
      <color theme="1"/>
      <name val="Aharoni"/>
    </font>
    <font>
      <b/>
      <sz val="12"/>
      <color theme="1"/>
      <name val="Aharoni"/>
    </font>
    <font>
      <b/>
      <sz val="14"/>
      <color theme="1"/>
      <name val="Aharoni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0"/>
      <name val="Arial"/>
      <family val="2"/>
    </font>
    <font>
      <b/>
      <sz val="20"/>
      <color theme="1"/>
      <name val="Aharoni"/>
    </font>
    <font>
      <u/>
      <sz val="11"/>
      <color theme="10"/>
      <name val="Calibri"/>
      <family val="2"/>
      <scheme val="minor"/>
    </font>
    <font>
      <u/>
      <sz val="16"/>
      <color rgb="FF0070C0"/>
      <name val="Arial"/>
      <family val="2"/>
    </font>
    <font>
      <sz val="14"/>
      <color theme="1"/>
      <name val="Calibri"/>
      <family val="2"/>
      <scheme val="minor"/>
    </font>
    <font>
      <b/>
      <sz val="16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20"/>
      <color theme="1"/>
      <name val="Century"/>
      <family val="1"/>
    </font>
    <font>
      <b/>
      <sz val="11"/>
      <color theme="1"/>
      <name val="Century"/>
      <family val="1"/>
    </font>
    <font>
      <b/>
      <sz val="10"/>
      <color theme="1"/>
      <name val="Century"/>
      <family val="1"/>
    </font>
    <font>
      <b/>
      <sz val="18"/>
      <color theme="1"/>
      <name val="Century"/>
      <family val="1"/>
    </font>
    <font>
      <b/>
      <sz val="14"/>
      <color theme="1"/>
      <name val="Century"/>
      <family val="1"/>
    </font>
    <font>
      <sz val="12"/>
      <color theme="0"/>
      <name val="Century"/>
      <family val="1"/>
    </font>
    <font>
      <b/>
      <sz val="14"/>
      <color theme="0"/>
      <name val="Century"/>
      <family val="1"/>
    </font>
    <font>
      <b/>
      <sz val="8"/>
      <color theme="1"/>
      <name val="Century"/>
      <family val="1"/>
    </font>
    <font>
      <sz val="11"/>
      <color theme="1"/>
      <name val="Century"/>
      <family val="1"/>
    </font>
    <font>
      <b/>
      <sz val="11"/>
      <color theme="0"/>
      <name val="Arial"/>
      <family val="2"/>
    </font>
    <font>
      <sz val="18"/>
      <color theme="0"/>
      <name val="Century"/>
      <family val="1"/>
    </font>
    <font>
      <sz val="10"/>
      <color theme="1"/>
      <name val="Century"/>
      <family val="1"/>
    </font>
    <font>
      <sz val="12"/>
      <color theme="1"/>
      <name val="Century"/>
      <family val="1"/>
    </font>
    <font>
      <b/>
      <sz val="12"/>
      <color theme="1"/>
      <name val="Century"/>
      <family val="1"/>
    </font>
    <font>
      <sz val="12"/>
      <color theme="1"/>
      <name val="Calibri"/>
      <family val="2"/>
      <scheme val="minor"/>
    </font>
    <font>
      <sz val="11"/>
      <color theme="0"/>
      <name val="Century"/>
      <family val="1"/>
    </font>
    <font>
      <b/>
      <sz val="12"/>
      <color theme="0"/>
      <name val="Century"/>
      <family val="1"/>
    </font>
    <font>
      <b/>
      <sz val="12"/>
      <color rgb="FFFF0000"/>
      <name val="Century"/>
      <family val="1"/>
    </font>
    <font>
      <b/>
      <sz val="24"/>
      <name val="Century"/>
      <family val="1"/>
    </font>
    <font>
      <b/>
      <sz val="16"/>
      <color theme="1"/>
      <name val="Century"/>
      <family val="1"/>
    </font>
    <font>
      <b/>
      <sz val="10"/>
      <color theme="0"/>
      <name val="Century"/>
      <family val="1"/>
    </font>
    <font>
      <b/>
      <sz val="22"/>
      <color theme="0"/>
      <name val="Century"/>
      <family val="1"/>
    </font>
    <font>
      <b/>
      <sz val="18"/>
      <color theme="0"/>
      <name val="Century"/>
      <family val="1"/>
    </font>
    <font>
      <sz val="11"/>
      <name val="Century"/>
      <family val="1"/>
    </font>
    <font>
      <b/>
      <sz val="11"/>
      <name val="Century"/>
      <family val="1"/>
    </font>
    <font>
      <b/>
      <sz val="9"/>
      <name val="Century"/>
      <family val="1"/>
    </font>
    <font>
      <b/>
      <sz val="10"/>
      <color theme="0"/>
      <name val="Arial"/>
      <family val="2"/>
    </font>
    <font>
      <sz val="22"/>
      <color theme="0"/>
      <name val="Aharoni"/>
    </font>
    <font>
      <b/>
      <sz val="18"/>
      <color theme="0"/>
      <name val="Calibri"/>
      <family val="2"/>
      <scheme val="minor"/>
    </font>
    <font>
      <b/>
      <sz val="11"/>
      <color theme="0"/>
      <name val="Century"/>
      <family val="1"/>
    </font>
    <font>
      <b/>
      <sz val="24"/>
      <color theme="0"/>
      <name val="Century"/>
      <family val="1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0"/>
      <name val="Century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316022"/>
        <bgColor indexed="64"/>
      </patternFill>
    </fill>
  </fills>
  <borders count="3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2" fillId="0" borderId="0"/>
  </cellStyleXfs>
  <cellXfs count="220">
    <xf numFmtId="0" fontId="0" fillId="0" borderId="0" xfId="0"/>
    <xf numFmtId="169" fontId="0" fillId="0" borderId="0" xfId="1" applyNumberFormat="1" applyFont="1" applyFill="1" applyProtection="1">
      <protection hidden="1"/>
    </xf>
    <xf numFmtId="170" fontId="12" fillId="0" borderId="0" xfId="3" applyNumberFormat="1" applyFont="1" applyFill="1" applyProtection="1">
      <protection hidden="1"/>
    </xf>
    <xf numFmtId="170" fontId="13" fillId="0" borderId="0" xfId="3" applyNumberFormat="1" applyFont="1" applyFill="1" applyBorder="1" applyProtection="1">
      <protection hidden="1"/>
    </xf>
    <xf numFmtId="0" fontId="0" fillId="2" borderId="0" xfId="0" applyFill="1"/>
    <xf numFmtId="0" fontId="0" fillId="2" borderId="0" xfId="0" applyFill="1" applyProtection="1">
      <protection hidden="1"/>
    </xf>
    <xf numFmtId="0" fontId="10" fillId="2" borderId="0" xfId="0" applyFont="1" applyFill="1" applyAlignment="1" applyProtection="1">
      <alignment horizontal="right"/>
      <protection hidden="1"/>
    </xf>
    <xf numFmtId="167" fontId="0" fillId="2" borderId="0" xfId="1" applyNumberFormat="1" applyFont="1" applyFill="1" applyProtection="1">
      <protection hidden="1"/>
    </xf>
    <xf numFmtId="170" fontId="0" fillId="2" borderId="0" xfId="4" applyNumberFormat="1" applyFont="1" applyFill="1" applyProtection="1">
      <protection hidden="1"/>
    </xf>
    <xf numFmtId="165" fontId="0" fillId="2" borderId="0" xfId="0" applyNumberFormat="1" applyFill="1" applyProtection="1">
      <protection hidden="1"/>
    </xf>
    <xf numFmtId="170" fontId="2" fillId="2" borderId="0" xfId="4" applyNumberFormat="1" applyFont="1" applyFill="1" applyProtection="1">
      <protection hidden="1"/>
    </xf>
    <xf numFmtId="167" fontId="0" fillId="2" borderId="0" xfId="0" applyNumberFormat="1" applyFill="1" applyProtection="1">
      <protection hidden="1"/>
    </xf>
    <xf numFmtId="0" fontId="8" fillId="2" borderId="0" xfId="0" applyFont="1" applyFill="1" applyProtection="1">
      <protection hidden="1"/>
    </xf>
    <xf numFmtId="167" fontId="23" fillId="0" borderId="17" xfId="0" applyNumberFormat="1" applyFont="1" applyBorder="1" applyAlignment="1" applyProtection="1">
      <alignment horizontal="center"/>
      <protection hidden="1"/>
    </xf>
    <xf numFmtId="167" fontId="23" fillId="0" borderId="15" xfId="0" applyNumberFormat="1" applyFont="1" applyBorder="1" applyAlignment="1" applyProtection="1">
      <alignment horizontal="center" wrapText="1"/>
      <protection hidden="1"/>
    </xf>
    <xf numFmtId="167" fontId="23" fillId="0" borderId="15" xfId="0" applyNumberFormat="1" applyFont="1" applyBorder="1" applyAlignment="1" applyProtection="1">
      <alignment horizontal="center"/>
      <protection hidden="1"/>
    </xf>
    <xf numFmtId="167" fontId="23" fillId="0" borderId="18" xfId="0" applyNumberFormat="1" applyFont="1" applyBorder="1" applyAlignment="1" applyProtection="1">
      <alignment horizontal="center"/>
      <protection hidden="1"/>
    </xf>
    <xf numFmtId="0" fontId="6" fillId="0" borderId="13" xfId="0" applyFont="1" applyBorder="1" applyAlignment="1" applyProtection="1">
      <alignment horizontal="center"/>
      <protection hidden="1"/>
    </xf>
    <xf numFmtId="9" fontId="0" fillId="0" borderId="14" xfId="2" applyFont="1" applyFill="1" applyBorder="1" applyAlignment="1" applyProtection="1">
      <alignment horizontal="center"/>
      <protection hidden="1"/>
    </xf>
    <xf numFmtId="167" fontId="6" fillId="0" borderId="19" xfId="0" applyNumberFormat="1" applyFont="1" applyBorder="1" applyProtection="1">
      <protection hidden="1"/>
    </xf>
    <xf numFmtId="167" fontId="6" fillId="0" borderId="20" xfId="0" applyNumberFormat="1" applyFont="1" applyBorder="1" applyProtection="1">
      <protection hidden="1"/>
    </xf>
    <xf numFmtId="9" fontId="6" fillId="0" borderId="21" xfId="2" applyFont="1" applyFill="1" applyBorder="1" applyAlignment="1" applyProtection="1">
      <alignment horizontal="center"/>
      <protection hidden="1"/>
    </xf>
    <xf numFmtId="0" fontId="25" fillId="0" borderId="4" xfId="0" applyFont="1" applyBorder="1" applyAlignment="1" applyProtection="1">
      <alignment horizontal="center" wrapText="1"/>
      <protection hidden="1"/>
    </xf>
    <xf numFmtId="0" fontId="25" fillId="0" borderId="16" xfId="0" applyFont="1" applyBorder="1" applyAlignment="1" applyProtection="1">
      <alignment horizontal="center" wrapText="1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4" fillId="0" borderId="16" xfId="0" applyFont="1" applyBorder="1" applyAlignment="1" applyProtection="1">
      <alignment horizontal="center"/>
      <protection hidden="1"/>
    </xf>
    <xf numFmtId="0" fontId="24" fillId="0" borderId="6" xfId="0" applyFont="1" applyBorder="1" applyAlignment="1" applyProtection="1">
      <alignment horizontal="center"/>
      <protection hidden="1"/>
    </xf>
    <xf numFmtId="0" fontId="28" fillId="0" borderId="16" xfId="0" applyFont="1" applyBorder="1" applyAlignment="1" applyProtection="1">
      <alignment horizontal="center" wrapText="1"/>
      <protection hidden="1"/>
    </xf>
    <xf numFmtId="0" fontId="28" fillId="0" borderId="11" xfId="0" applyFont="1" applyBorder="1" applyAlignment="1" applyProtection="1">
      <alignment horizontal="center"/>
      <protection hidden="1"/>
    </xf>
    <xf numFmtId="0" fontId="22" fillId="0" borderId="4" xfId="0" applyFont="1" applyBorder="1" applyProtection="1">
      <protection hidden="1"/>
    </xf>
    <xf numFmtId="0" fontId="0" fillId="0" borderId="5" xfId="0" applyBorder="1" applyProtection="1">
      <protection hidden="1"/>
    </xf>
    <xf numFmtId="0" fontId="22" fillId="0" borderId="16" xfId="0" applyFont="1" applyBorder="1" applyProtection="1">
      <protection hidden="1"/>
    </xf>
    <xf numFmtId="0" fontId="22" fillId="0" borderId="16" xfId="0" applyFont="1" applyBorder="1" applyAlignment="1" applyProtection="1">
      <alignment horizontal="center"/>
      <protection hidden="1"/>
    </xf>
    <xf numFmtId="0" fontId="29" fillId="0" borderId="16" xfId="0" applyFont="1" applyBorder="1" applyAlignment="1" applyProtection="1">
      <alignment horizontal="center"/>
      <protection hidden="1"/>
    </xf>
    <xf numFmtId="0" fontId="29" fillId="0" borderId="27" xfId="0" applyFont="1" applyBorder="1" applyAlignment="1" applyProtection="1">
      <alignment horizontal="center"/>
      <protection hidden="1"/>
    </xf>
    <xf numFmtId="9" fontId="14" fillId="3" borderId="0" xfId="2" applyFont="1" applyFill="1" applyBorder="1" applyAlignment="1" applyProtection="1">
      <alignment horizontal="center"/>
      <protection locked="0"/>
    </xf>
    <xf numFmtId="0" fontId="31" fillId="3" borderId="16" xfId="0" applyFont="1" applyFill="1" applyBorder="1" applyAlignment="1" applyProtection="1">
      <alignment horizontal="center"/>
      <protection locked="0"/>
    </xf>
    <xf numFmtId="0" fontId="26" fillId="3" borderId="16" xfId="0" applyFont="1" applyFill="1" applyBorder="1" applyAlignment="1" applyProtection="1">
      <alignment horizontal="center"/>
      <protection hidden="1"/>
    </xf>
    <xf numFmtId="168" fontId="27" fillId="3" borderId="4" xfId="2" applyNumberFormat="1" applyFont="1" applyFill="1" applyBorder="1" applyAlignment="1" applyProtection="1">
      <alignment horizontal="center" wrapText="1"/>
      <protection hidden="1"/>
    </xf>
    <xf numFmtId="9" fontId="14" fillId="3" borderId="8" xfId="2" applyFont="1" applyFill="1" applyBorder="1" applyAlignment="1" applyProtection="1">
      <alignment horizontal="center"/>
      <protection locked="0"/>
    </xf>
    <xf numFmtId="9" fontId="14" fillId="3" borderId="9" xfId="2" applyFont="1" applyFill="1" applyBorder="1" applyAlignment="1" applyProtection="1">
      <alignment horizontal="center"/>
      <protection locked="0"/>
    </xf>
    <xf numFmtId="9" fontId="14" fillId="3" borderId="10" xfId="2" applyFont="1" applyFill="1" applyBorder="1" applyAlignment="1" applyProtection="1">
      <alignment horizontal="center"/>
      <protection locked="0"/>
    </xf>
    <xf numFmtId="9" fontId="14" fillId="3" borderId="13" xfId="2" applyFont="1" applyFill="1" applyBorder="1" applyAlignment="1" applyProtection="1">
      <alignment horizontal="center"/>
      <protection locked="0"/>
    </xf>
    <xf numFmtId="9" fontId="14" fillId="3" borderId="14" xfId="2" applyFont="1" applyFill="1" applyBorder="1" applyAlignment="1" applyProtection="1">
      <alignment horizontal="center"/>
      <protection locked="0"/>
    </xf>
    <xf numFmtId="9" fontId="14" fillId="3" borderId="11" xfId="2" applyFont="1" applyFill="1" applyBorder="1" applyAlignment="1" applyProtection="1">
      <alignment horizontal="center"/>
      <protection locked="0"/>
    </xf>
    <xf numFmtId="9" fontId="14" fillId="3" borderId="3" xfId="2" applyFont="1" applyFill="1" applyBorder="1" applyAlignment="1" applyProtection="1">
      <alignment horizontal="center"/>
      <protection locked="0"/>
    </xf>
    <xf numFmtId="9" fontId="14" fillId="3" borderId="12" xfId="2" applyFont="1" applyFill="1" applyBorder="1" applyAlignment="1" applyProtection="1">
      <alignment horizontal="center"/>
      <protection locked="0"/>
    </xf>
    <xf numFmtId="0" fontId="22" fillId="0" borderId="4" xfId="0" applyFont="1" applyBorder="1" applyAlignment="1" applyProtection="1">
      <alignment horizontal="center"/>
      <protection hidden="1"/>
    </xf>
    <xf numFmtId="0" fontId="22" fillId="0" borderId="6" xfId="0" applyFont="1" applyBorder="1" applyAlignment="1" applyProtection="1">
      <alignment horizontal="center"/>
      <protection hidden="1"/>
    </xf>
    <xf numFmtId="0" fontId="11" fillId="2" borderId="0" xfId="0" applyFont="1" applyFill="1" applyProtection="1">
      <protection hidden="1"/>
    </xf>
    <xf numFmtId="165" fontId="11" fillId="2" borderId="0" xfId="0" applyNumberFormat="1" applyFont="1" applyFill="1" applyProtection="1">
      <protection hidden="1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165" fontId="11" fillId="0" borderId="0" xfId="0" applyNumberFormat="1" applyFont="1" applyProtection="1">
      <protection hidden="1"/>
    </xf>
    <xf numFmtId="0" fontId="9" fillId="0" borderId="0" xfId="0" applyFont="1" applyAlignment="1" applyProtection="1">
      <alignment horizontal="left" wrapText="1"/>
      <protection hidden="1"/>
    </xf>
    <xf numFmtId="0" fontId="3" fillId="0" borderId="0" xfId="0" applyFont="1" applyAlignment="1" applyProtection="1">
      <alignment horizontal="left" wrapText="1"/>
      <protection hidden="1"/>
    </xf>
    <xf numFmtId="0" fontId="22" fillId="0" borderId="0" xfId="0" applyFont="1" applyProtection="1">
      <protection hidden="1"/>
    </xf>
    <xf numFmtId="0" fontId="35" fillId="0" borderId="0" xfId="0" applyFont="1" applyProtection="1">
      <protection hidden="1"/>
    </xf>
    <xf numFmtId="0" fontId="2" fillId="0" borderId="0" xfId="0" applyFont="1" applyProtection="1">
      <protection hidden="1"/>
    </xf>
    <xf numFmtId="170" fontId="34" fillId="0" borderId="0" xfId="4" applyNumberFormat="1" applyFont="1" applyFill="1" applyAlignment="1" applyProtection="1">
      <alignment horizontal="center"/>
      <protection hidden="1"/>
    </xf>
    <xf numFmtId="0" fontId="33" fillId="0" borderId="8" xfId="0" applyFont="1" applyBorder="1" applyProtection="1">
      <protection hidden="1"/>
    </xf>
    <xf numFmtId="170" fontId="36" fillId="3" borderId="10" xfId="4" applyNumberFormat="1" applyFont="1" applyFill="1" applyBorder="1" applyProtection="1">
      <protection locked="0"/>
    </xf>
    <xf numFmtId="0" fontId="33" fillId="0" borderId="13" xfId="0" applyFont="1" applyBorder="1" applyProtection="1">
      <protection hidden="1"/>
    </xf>
    <xf numFmtId="170" fontId="36" fillId="3" borderId="14" xfId="4" applyNumberFormat="1" applyFont="1" applyFill="1" applyBorder="1" applyProtection="1">
      <protection locked="0"/>
    </xf>
    <xf numFmtId="0" fontId="34" fillId="0" borderId="4" xfId="0" applyFont="1" applyBorder="1" applyProtection="1">
      <protection hidden="1"/>
    </xf>
    <xf numFmtId="170" fontId="34" fillId="0" borderId="16" xfId="4" applyNumberFormat="1" applyFont="1" applyFill="1" applyBorder="1" applyAlignment="1" applyProtection="1">
      <alignment horizontal="center"/>
      <protection hidden="1"/>
    </xf>
    <xf numFmtId="0" fontId="34" fillId="0" borderId="13" xfId="0" applyFont="1" applyBorder="1" applyProtection="1">
      <protection hidden="1"/>
    </xf>
    <xf numFmtId="170" fontId="36" fillId="3" borderId="26" xfId="4" applyNumberFormat="1" applyFont="1" applyFill="1" applyBorder="1" applyProtection="1">
      <protection locked="0"/>
    </xf>
    <xf numFmtId="170" fontId="36" fillId="3" borderId="27" xfId="4" applyNumberFormat="1" applyFont="1" applyFill="1" applyBorder="1" applyProtection="1">
      <protection locked="0"/>
    </xf>
    <xf numFmtId="0" fontId="34" fillId="0" borderId="8" xfId="0" applyFont="1" applyBorder="1" applyAlignment="1" applyProtection="1">
      <alignment horizontal="center"/>
      <protection hidden="1"/>
    </xf>
    <xf numFmtId="0" fontId="0" fillId="0" borderId="13" xfId="0" applyBorder="1" applyProtection="1">
      <protection hidden="1"/>
    </xf>
    <xf numFmtId="0" fontId="22" fillId="0" borderId="13" xfId="0" applyFont="1" applyBorder="1" applyProtection="1">
      <protection hidden="1"/>
    </xf>
    <xf numFmtId="0" fontId="22" fillId="0" borderId="25" xfId="0" applyFont="1" applyBorder="1" applyAlignment="1" applyProtection="1">
      <alignment horizontal="center"/>
      <protection hidden="1"/>
    </xf>
    <xf numFmtId="170" fontId="37" fillId="3" borderId="6" xfId="4" applyNumberFormat="1" applyFont="1" applyFill="1" applyBorder="1" applyAlignment="1" applyProtection="1">
      <alignment horizontal="center"/>
      <protection hidden="1"/>
    </xf>
    <xf numFmtId="0" fontId="34" fillId="0" borderId="16" xfId="0" applyFont="1" applyBorder="1" applyAlignment="1" applyProtection="1">
      <alignment wrapText="1"/>
      <protection hidden="1"/>
    </xf>
    <xf numFmtId="170" fontId="36" fillId="3" borderId="25" xfId="4" applyNumberFormat="1" applyFont="1" applyFill="1" applyBorder="1" applyProtection="1">
      <protection locked="0"/>
    </xf>
    <xf numFmtId="0" fontId="34" fillId="0" borderId="13" xfId="0" applyFont="1" applyBorder="1" applyAlignment="1" applyProtection="1">
      <alignment horizontal="center"/>
      <protection hidden="1"/>
    </xf>
    <xf numFmtId="0" fontId="34" fillId="0" borderId="11" xfId="0" applyFont="1" applyBorder="1" applyAlignment="1" applyProtection="1">
      <alignment horizontal="center"/>
      <protection hidden="1"/>
    </xf>
    <xf numFmtId="0" fontId="29" fillId="0" borderId="0" xfId="0" applyFont="1" applyProtection="1">
      <protection hidden="1"/>
    </xf>
    <xf numFmtId="170" fontId="34" fillId="0" borderId="0" xfId="4" applyNumberFormat="1" applyFont="1" applyFill="1" applyProtection="1">
      <protection hidden="1"/>
    </xf>
    <xf numFmtId="0" fontId="0" fillId="0" borderId="8" xfId="0" applyBorder="1" applyProtection="1">
      <protection hidden="1"/>
    </xf>
    <xf numFmtId="172" fontId="5" fillId="0" borderId="14" xfId="0" applyNumberFormat="1" applyFont="1" applyBorder="1" applyProtection="1">
      <protection hidden="1"/>
    </xf>
    <xf numFmtId="172" fontId="5" fillId="0" borderId="12" xfId="0" applyNumberFormat="1" applyFont="1" applyBorder="1" applyProtection="1">
      <protection hidden="1"/>
    </xf>
    <xf numFmtId="170" fontId="36" fillId="3" borderId="0" xfId="4" applyNumberFormat="1" applyFont="1" applyFill="1" applyAlignment="1" applyProtection="1">
      <alignment horizontal="center"/>
      <protection locked="0"/>
    </xf>
    <xf numFmtId="170" fontId="38" fillId="0" borderId="0" xfId="4" applyNumberFormat="1" applyFont="1" applyFill="1" applyProtection="1">
      <protection hidden="1"/>
    </xf>
    <xf numFmtId="0" fontId="23" fillId="0" borderId="13" xfId="0" applyFont="1" applyBorder="1" applyAlignment="1" applyProtection="1">
      <alignment horizontal="center"/>
      <protection hidden="1"/>
    </xf>
    <xf numFmtId="0" fontId="23" fillId="0" borderId="11" xfId="0" applyFont="1" applyBorder="1" applyAlignment="1" applyProtection="1">
      <alignment horizontal="center"/>
      <protection hidden="1"/>
    </xf>
    <xf numFmtId="0" fontId="23" fillId="0" borderId="5" xfId="0" applyFont="1" applyBorder="1" applyAlignment="1" applyProtection="1">
      <alignment horizontal="center"/>
      <protection hidden="1"/>
    </xf>
    <xf numFmtId="0" fontId="23" fillId="0" borderId="6" xfId="0" applyFont="1" applyBorder="1" applyAlignment="1" applyProtection="1">
      <alignment horizontal="center"/>
      <protection hidden="1"/>
    </xf>
    <xf numFmtId="0" fontId="23" fillId="0" borderId="16" xfId="0" applyFont="1" applyBorder="1" applyAlignment="1" applyProtection="1">
      <alignment horizontal="center"/>
      <protection hidden="1"/>
    </xf>
    <xf numFmtId="172" fontId="5" fillId="0" borderId="26" xfId="0" applyNumberFormat="1" applyFont="1" applyBorder="1" applyProtection="1">
      <protection hidden="1"/>
    </xf>
    <xf numFmtId="172" fontId="5" fillId="0" borderId="27" xfId="0" applyNumberFormat="1" applyFont="1" applyBorder="1" applyProtection="1">
      <protection hidden="1"/>
    </xf>
    <xf numFmtId="0" fontId="22" fillId="0" borderId="0" xfId="0" applyFont="1" applyAlignment="1" applyProtection="1">
      <alignment wrapText="1"/>
      <protection hidden="1"/>
    </xf>
    <xf numFmtId="170" fontId="34" fillId="0" borderId="16" xfId="4" applyNumberFormat="1" applyFont="1" applyFill="1" applyBorder="1" applyProtection="1">
      <protection hidden="1"/>
    </xf>
    <xf numFmtId="170" fontId="29" fillId="0" borderId="26" xfId="4" applyNumberFormat="1" applyFont="1" applyFill="1" applyBorder="1" applyProtection="1">
      <protection hidden="1"/>
    </xf>
    <xf numFmtId="170" fontId="29" fillId="0" borderId="26" xfId="4" applyNumberFormat="1" applyFont="1" applyFill="1" applyBorder="1" applyAlignment="1" applyProtection="1">
      <alignment horizontal="left"/>
      <protection hidden="1"/>
    </xf>
    <xf numFmtId="0" fontId="22" fillId="0" borderId="16" xfId="0" applyFont="1" applyBorder="1" applyAlignment="1" applyProtection="1">
      <alignment horizontal="center" wrapText="1"/>
      <protection hidden="1"/>
    </xf>
    <xf numFmtId="170" fontId="37" fillId="3" borderId="0" xfId="4" applyNumberFormat="1" applyFont="1" applyFill="1" applyProtection="1">
      <protection hidden="1"/>
    </xf>
    <xf numFmtId="0" fontId="22" fillId="2" borderId="0" xfId="0" applyFont="1" applyFill="1" applyProtection="1">
      <protection hidden="1"/>
    </xf>
    <xf numFmtId="170" fontId="2" fillId="2" borderId="0" xfId="4" applyNumberFormat="1" applyFont="1" applyFill="1" applyBorder="1" applyProtection="1">
      <protection hidden="1"/>
    </xf>
    <xf numFmtId="0" fontId="34" fillId="0" borderId="0" xfId="0" applyFont="1" applyAlignment="1" applyProtection="1">
      <alignment horizontal="center" vertical="center"/>
      <protection hidden="1"/>
    </xf>
    <xf numFmtId="170" fontId="0" fillId="0" borderId="0" xfId="4" applyNumberFormat="1" applyFont="1" applyFill="1" applyProtection="1">
      <protection hidden="1"/>
    </xf>
    <xf numFmtId="170" fontId="2" fillId="0" borderId="0" xfId="4" applyNumberFormat="1" applyFont="1" applyFill="1" applyBorder="1" applyProtection="1">
      <protection hidden="1"/>
    </xf>
    <xf numFmtId="0" fontId="32" fillId="0" borderId="0" xfId="0" applyFont="1" applyProtection="1">
      <protection hidden="1"/>
    </xf>
    <xf numFmtId="165" fontId="0" fillId="0" borderId="0" xfId="0" applyNumberFormat="1" applyProtection="1"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41" fillId="3" borderId="1" xfId="0" applyFont="1" applyFill="1" applyBorder="1" applyProtection="1">
      <protection hidden="1"/>
    </xf>
    <xf numFmtId="170" fontId="11" fillId="3" borderId="1" xfId="4" applyNumberFormat="1" applyFont="1" applyFill="1" applyBorder="1" applyProtection="1">
      <protection hidden="1"/>
    </xf>
    <xf numFmtId="0" fontId="41" fillId="3" borderId="2" xfId="0" applyFont="1" applyFill="1" applyBorder="1" applyProtection="1">
      <protection hidden="1"/>
    </xf>
    <xf numFmtId="170" fontId="20" fillId="3" borderId="2" xfId="4" applyNumberFormat="1" applyFont="1" applyFill="1" applyBorder="1" applyProtection="1">
      <protection hidden="1"/>
    </xf>
    <xf numFmtId="170" fontId="32" fillId="0" borderId="0" xfId="4" applyNumberFormat="1" applyFont="1" applyFill="1" applyProtection="1">
      <protection hidden="1"/>
    </xf>
    <xf numFmtId="170" fontId="23" fillId="0" borderId="0" xfId="4" applyNumberFormat="1" applyFont="1" applyFill="1" applyProtection="1">
      <protection hidden="1"/>
    </xf>
    <xf numFmtId="170" fontId="20" fillId="3" borderId="1" xfId="4" applyNumberFormat="1" applyFont="1" applyFill="1" applyBorder="1" applyProtection="1">
      <protection hidden="1"/>
    </xf>
    <xf numFmtId="170" fontId="20" fillId="3" borderId="0" xfId="4" applyNumberFormat="1" applyFont="1" applyFill="1" applyProtection="1">
      <protection hidden="1"/>
    </xf>
    <xf numFmtId="0" fontId="44" fillId="0" borderId="0" xfId="0" applyFont="1" applyProtection="1">
      <protection hidden="1"/>
    </xf>
    <xf numFmtId="0" fontId="45" fillId="0" borderId="0" xfId="0" applyFont="1" applyProtection="1">
      <protection hidden="1"/>
    </xf>
    <xf numFmtId="0" fontId="46" fillId="0" borderId="0" xfId="0" applyFont="1" applyProtection="1">
      <protection hidden="1"/>
    </xf>
    <xf numFmtId="170" fontId="0" fillId="0" borderId="7" xfId="4" applyNumberFormat="1" applyFont="1" applyFill="1" applyBorder="1" applyProtection="1">
      <protection hidden="1"/>
    </xf>
    <xf numFmtId="170" fontId="47" fillId="3" borderId="0" xfId="4" applyNumberFormat="1" applyFont="1" applyFill="1" applyProtection="1">
      <protection hidden="1"/>
    </xf>
    <xf numFmtId="170" fontId="47" fillId="3" borderId="1" xfId="4" applyNumberFormat="1" applyFont="1" applyFill="1" applyBorder="1" applyProtection="1"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170" fontId="5" fillId="0" borderId="16" xfId="4" applyNumberFormat="1" applyFont="1" applyFill="1" applyBorder="1" applyProtection="1">
      <protection hidden="1"/>
    </xf>
    <xf numFmtId="170" fontId="5" fillId="0" borderId="6" xfId="4" applyNumberFormat="1" applyFont="1" applyFill="1" applyBorder="1" applyProtection="1">
      <protection hidden="1"/>
    </xf>
    <xf numFmtId="170" fontId="30" fillId="3" borderId="27" xfId="4" applyNumberFormat="1" applyFont="1" applyFill="1" applyBorder="1" applyProtection="1">
      <protection hidden="1"/>
    </xf>
    <xf numFmtId="170" fontId="30" fillId="3" borderId="7" xfId="4" applyNumberFormat="1" applyFont="1" applyFill="1" applyBorder="1" applyProtection="1">
      <protection hidden="1"/>
    </xf>
    <xf numFmtId="170" fontId="14" fillId="3" borderId="0" xfId="4" applyNumberFormat="1" applyFont="1" applyFill="1" applyBorder="1" applyProtection="1">
      <protection locked="0"/>
    </xf>
    <xf numFmtId="170" fontId="5" fillId="0" borderId="0" xfId="4" applyNumberFormat="1" applyFont="1" applyFill="1" applyBorder="1" applyProtection="1">
      <protection hidden="1"/>
    </xf>
    <xf numFmtId="0" fontId="14" fillId="3" borderId="0" xfId="0" applyFont="1" applyFill="1" applyAlignment="1" applyProtection="1">
      <alignment horizontal="center"/>
      <protection locked="0"/>
    </xf>
    <xf numFmtId="164" fontId="0" fillId="2" borderId="0" xfId="0" applyNumberFormat="1" applyFill="1" applyProtection="1">
      <protection hidden="1"/>
    </xf>
    <xf numFmtId="164" fontId="12" fillId="2" borderId="0" xfId="6" applyNumberFormat="1" applyFill="1"/>
    <xf numFmtId="171" fontId="12" fillId="2" borderId="0" xfId="6" applyNumberFormat="1" applyFill="1"/>
    <xf numFmtId="0" fontId="12" fillId="2" borderId="0" xfId="6" applyFill="1"/>
    <xf numFmtId="0" fontId="0" fillId="0" borderId="11" xfId="0" applyBorder="1" applyProtection="1">
      <protection hidden="1"/>
    </xf>
    <xf numFmtId="170" fontId="18" fillId="0" borderId="3" xfId="4" applyNumberFormat="1" applyFont="1" applyFill="1" applyBorder="1" applyProtection="1">
      <protection hidden="1"/>
    </xf>
    <xf numFmtId="170" fontId="18" fillId="0" borderId="12" xfId="4" applyNumberFormat="1" applyFont="1" applyFill="1" applyBorder="1" applyProtection="1">
      <protection hidden="1"/>
    </xf>
    <xf numFmtId="170" fontId="5" fillId="0" borderId="9" xfId="4" applyNumberFormat="1" applyFont="1" applyFill="1" applyBorder="1" applyProtection="1">
      <protection hidden="1"/>
    </xf>
    <xf numFmtId="0" fontId="5" fillId="0" borderId="9" xfId="0" applyFont="1" applyBorder="1" applyAlignment="1" applyProtection="1">
      <alignment horizontal="center"/>
      <protection hidden="1"/>
    </xf>
    <xf numFmtId="165" fontId="11" fillId="0" borderId="10" xfId="0" applyNumberFormat="1" applyFont="1" applyBorder="1" applyProtection="1">
      <protection hidden="1"/>
    </xf>
    <xf numFmtId="166" fontId="11" fillId="0" borderId="0" xfId="0" applyNumberFormat="1" applyFont="1" applyProtection="1">
      <protection hidden="1"/>
    </xf>
    <xf numFmtId="0" fontId="5" fillId="0" borderId="13" xfId="0" applyFont="1" applyBorder="1" applyAlignment="1" applyProtection="1">
      <alignment horizontal="left"/>
      <protection hidden="1"/>
    </xf>
    <xf numFmtId="165" fontId="11" fillId="0" borderId="14" xfId="0" applyNumberFormat="1" applyFont="1" applyBorder="1" applyProtection="1">
      <protection hidden="1"/>
    </xf>
    <xf numFmtId="0" fontId="5" fillId="0" borderId="11" xfId="0" applyFont="1" applyBorder="1" applyAlignment="1" applyProtection="1">
      <alignment horizontal="left"/>
      <protection hidden="1"/>
    </xf>
    <xf numFmtId="170" fontId="5" fillId="0" borderId="3" xfId="4" applyNumberFormat="1" applyFont="1" applyFill="1" applyBorder="1" applyProtection="1">
      <protection hidden="1"/>
    </xf>
    <xf numFmtId="0" fontId="5" fillId="0" borderId="3" xfId="0" applyFont="1" applyBorder="1" applyAlignment="1" applyProtection="1">
      <alignment horizontal="center"/>
      <protection hidden="1"/>
    </xf>
    <xf numFmtId="165" fontId="11" fillId="0" borderId="12" xfId="0" applyNumberFormat="1" applyFont="1" applyBorder="1" applyProtection="1">
      <protection hidden="1"/>
    </xf>
    <xf numFmtId="9" fontId="0" fillId="0" borderId="0" xfId="0" applyNumberFormat="1" applyProtection="1">
      <protection hidden="1"/>
    </xf>
    <xf numFmtId="166" fontId="15" fillId="0" borderId="0" xfId="4" applyFont="1" applyFill="1" applyProtection="1">
      <protection hidden="1"/>
    </xf>
    <xf numFmtId="166" fontId="2" fillId="0" borderId="0" xfId="4" applyFont="1" applyFill="1" applyProtection="1">
      <protection hidden="1"/>
    </xf>
    <xf numFmtId="0" fontId="52" fillId="2" borderId="0" xfId="0" applyFont="1" applyFill="1" applyProtection="1">
      <protection hidden="1"/>
    </xf>
    <xf numFmtId="165" fontId="52" fillId="2" borderId="0" xfId="0" applyNumberFormat="1" applyFont="1" applyFill="1" applyProtection="1">
      <protection hidden="1"/>
    </xf>
    <xf numFmtId="166" fontId="52" fillId="2" borderId="0" xfId="0" applyNumberFormat="1" applyFont="1" applyFill="1" applyProtection="1">
      <protection hidden="1"/>
    </xf>
    <xf numFmtId="165" fontId="52" fillId="2" borderId="0" xfId="1" applyFont="1" applyFill="1" applyProtection="1">
      <protection hidden="1"/>
    </xf>
    <xf numFmtId="0" fontId="52" fillId="2" borderId="0" xfId="0" applyFont="1" applyFill="1" applyAlignment="1" applyProtection="1">
      <alignment horizontal="center"/>
      <protection hidden="1"/>
    </xf>
    <xf numFmtId="165" fontId="53" fillId="2" borderId="0" xfId="1" applyFont="1" applyFill="1" applyProtection="1">
      <protection hidden="1"/>
    </xf>
    <xf numFmtId="170" fontId="5" fillId="0" borderId="9" xfId="4" applyNumberFormat="1" applyFont="1" applyFill="1" applyBorder="1" applyAlignment="1" applyProtection="1">
      <alignment horizontal="center"/>
      <protection hidden="1"/>
    </xf>
    <xf numFmtId="170" fontId="5" fillId="0" borderId="0" xfId="4" applyNumberFormat="1" applyFont="1" applyFill="1" applyBorder="1" applyAlignment="1" applyProtection="1">
      <alignment horizontal="center"/>
      <protection hidden="1"/>
    </xf>
    <xf numFmtId="170" fontId="5" fillId="0" borderId="3" xfId="4" applyNumberFormat="1" applyFont="1" applyFill="1" applyBorder="1" applyAlignment="1" applyProtection="1">
      <alignment horizontal="center"/>
      <protection hidden="1"/>
    </xf>
    <xf numFmtId="9" fontId="5" fillId="0" borderId="9" xfId="2" applyFont="1" applyFill="1" applyBorder="1" applyAlignment="1" applyProtection="1">
      <alignment horizontal="center"/>
      <protection hidden="1"/>
    </xf>
    <xf numFmtId="9" fontId="5" fillId="0" borderId="0" xfId="2" applyFont="1" applyFill="1" applyBorder="1" applyAlignment="1" applyProtection="1">
      <alignment horizontal="center"/>
      <protection hidden="1"/>
    </xf>
    <xf numFmtId="9" fontId="5" fillId="0" borderId="3" xfId="2" applyFont="1" applyFill="1" applyBorder="1" applyAlignment="1" applyProtection="1">
      <alignment horizontal="center"/>
      <protection hidden="1"/>
    </xf>
    <xf numFmtId="0" fontId="50" fillId="3" borderId="6" xfId="0" applyFont="1" applyFill="1" applyBorder="1" applyProtection="1">
      <protection hidden="1"/>
    </xf>
    <xf numFmtId="0" fontId="54" fillId="3" borderId="4" xfId="0" applyFont="1" applyFill="1" applyBorder="1" applyAlignment="1" applyProtection="1">
      <alignment wrapText="1"/>
      <protection hidden="1"/>
    </xf>
    <xf numFmtId="0" fontId="54" fillId="3" borderId="16" xfId="0" applyFont="1" applyFill="1" applyBorder="1" applyAlignment="1" applyProtection="1">
      <alignment wrapText="1"/>
      <protection hidden="1"/>
    </xf>
    <xf numFmtId="0" fontId="50" fillId="3" borderId="5" xfId="0" applyFont="1" applyFill="1" applyBorder="1" applyProtection="1">
      <protection hidden="1"/>
    </xf>
    <xf numFmtId="0" fontId="50" fillId="3" borderId="9" xfId="0" applyFont="1" applyFill="1" applyBorder="1" applyAlignment="1" applyProtection="1">
      <alignment horizontal="center" vertical="center"/>
      <protection hidden="1"/>
    </xf>
    <xf numFmtId="0" fontId="37" fillId="3" borderId="9" xfId="0" applyFont="1" applyFill="1" applyBorder="1" applyAlignment="1" applyProtection="1">
      <alignment horizontal="center" vertical="center"/>
      <protection hidden="1"/>
    </xf>
    <xf numFmtId="0" fontId="37" fillId="3" borderId="10" xfId="0" applyFont="1" applyFill="1" applyBorder="1" applyAlignment="1" applyProtection="1">
      <alignment horizontal="center" vertical="center"/>
      <protection hidden="1"/>
    </xf>
    <xf numFmtId="0" fontId="41" fillId="3" borderId="8" xfId="0" applyFont="1" applyFill="1" applyBorder="1" applyProtection="1">
      <protection hidden="1"/>
    </xf>
    <xf numFmtId="170" fontId="29" fillId="0" borderId="25" xfId="4" applyNumberFormat="1" applyFont="1" applyFill="1" applyBorder="1" applyProtection="1">
      <protection hidden="1"/>
    </xf>
    <xf numFmtId="0" fontId="0" fillId="0" borderId="27" xfId="0" applyBorder="1" applyProtection="1">
      <protection hidden="1"/>
    </xf>
    <xf numFmtId="0" fontId="0" fillId="3" borderId="0" xfId="0" applyFill="1" applyProtection="1">
      <protection hidden="1"/>
    </xf>
    <xf numFmtId="9" fontId="27" fillId="3" borderId="16" xfId="2" applyFont="1" applyFill="1" applyBorder="1" applyAlignment="1" applyProtection="1">
      <alignment horizontal="center" wrapText="1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16" xfId="0" applyFont="1" applyBorder="1" applyAlignment="1" applyProtection="1">
      <alignment horizontal="center"/>
      <protection hidden="1"/>
    </xf>
    <xf numFmtId="170" fontId="15" fillId="0" borderId="11" xfId="4" applyNumberFormat="1" applyFont="1" applyFill="1" applyBorder="1" applyAlignment="1" applyProtection="1">
      <protection hidden="1"/>
    </xf>
    <xf numFmtId="170" fontId="49" fillId="3" borderId="10" xfId="4" applyNumberFormat="1" applyFont="1" applyFill="1" applyBorder="1" applyProtection="1">
      <protection hidden="1"/>
    </xf>
    <xf numFmtId="2" fontId="49" fillId="3" borderId="9" xfId="0" applyNumberFormat="1" applyFont="1" applyFill="1" applyBorder="1" applyAlignment="1" applyProtection="1">
      <alignment horizontal="center"/>
      <protection hidden="1"/>
    </xf>
    <xf numFmtId="9" fontId="48" fillId="0" borderId="28" xfId="2" applyFont="1" applyFill="1" applyBorder="1" applyAlignment="1" applyProtection="1">
      <alignment vertical="center"/>
      <protection hidden="1"/>
    </xf>
    <xf numFmtId="0" fontId="17" fillId="0" borderId="0" xfId="5" applyFont="1" applyFill="1" applyAlignment="1">
      <alignment horizontal="center"/>
    </xf>
    <xf numFmtId="0" fontId="22" fillId="0" borderId="4" xfId="0" applyFont="1" applyBorder="1" applyAlignment="1" applyProtection="1">
      <alignment horizontal="center"/>
      <protection hidden="1"/>
    </xf>
    <xf numFmtId="0" fontId="22" fillId="0" borderId="5" xfId="0" applyFont="1" applyBorder="1" applyAlignment="1" applyProtection="1">
      <alignment horizontal="center"/>
      <protection hidden="1"/>
    </xf>
    <xf numFmtId="0" fontId="22" fillId="0" borderId="6" xfId="0" applyFont="1" applyBorder="1" applyAlignment="1" applyProtection="1">
      <alignment horizontal="center"/>
      <protection hidden="1"/>
    </xf>
    <xf numFmtId="0" fontId="23" fillId="0" borderId="4" xfId="0" applyFont="1" applyBorder="1" applyAlignment="1" applyProtection="1">
      <alignment horizontal="center" wrapText="1"/>
      <protection hidden="1"/>
    </xf>
    <xf numFmtId="0" fontId="23" fillId="0" borderId="5" xfId="0" applyFont="1" applyBorder="1" applyAlignment="1" applyProtection="1">
      <alignment horizontal="center" wrapText="1"/>
      <protection hidden="1"/>
    </xf>
    <xf numFmtId="0" fontId="23" fillId="0" borderId="6" xfId="0" applyFont="1" applyBorder="1" applyAlignment="1" applyProtection="1">
      <alignment horizontal="center" wrapText="1"/>
      <protection hidden="1"/>
    </xf>
    <xf numFmtId="0" fontId="4" fillId="2" borderId="0" xfId="0" applyFont="1" applyFill="1" applyAlignment="1" applyProtection="1">
      <alignment horizontal="center"/>
      <protection hidden="1"/>
    </xf>
    <xf numFmtId="0" fontId="21" fillId="0" borderId="22" xfId="0" applyFont="1" applyBorder="1" applyAlignment="1" applyProtection="1">
      <alignment horizontal="center" vertical="center"/>
      <protection hidden="1"/>
    </xf>
    <xf numFmtId="0" fontId="21" fillId="0" borderId="23" xfId="0" applyFont="1" applyBorder="1" applyAlignment="1" applyProtection="1">
      <alignment horizontal="center" vertical="center"/>
      <protection hidden="1"/>
    </xf>
    <xf numFmtId="0" fontId="21" fillId="0" borderId="24" xfId="0" applyFont="1" applyBorder="1" applyAlignment="1" applyProtection="1">
      <alignment horizontal="center" vertical="center"/>
      <protection hidden="1"/>
    </xf>
    <xf numFmtId="0" fontId="39" fillId="0" borderId="8" xfId="0" applyFont="1" applyBorder="1" applyAlignment="1" applyProtection="1">
      <alignment horizontal="center" vertical="center" wrapText="1"/>
      <protection hidden="1"/>
    </xf>
    <xf numFmtId="0" fontId="39" fillId="0" borderId="9" xfId="0" applyFont="1" applyBorder="1" applyAlignment="1" applyProtection="1">
      <alignment horizontal="center" vertical="center" wrapText="1"/>
      <protection hidden="1"/>
    </xf>
    <xf numFmtId="0" fontId="39" fillId="0" borderId="10" xfId="0" applyFont="1" applyBorder="1" applyAlignment="1" applyProtection="1">
      <alignment horizontal="center" vertical="center" wrapText="1"/>
      <protection hidden="1"/>
    </xf>
    <xf numFmtId="0" fontId="39" fillId="0" borderId="11" xfId="0" applyFont="1" applyBorder="1" applyAlignment="1" applyProtection="1">
      <alignment horizontal="center" vertical="center" wrapText="1"/>
      <protection hidden="1"/>
    </xf>
    <xf numFmtId="0" fontId="39" fillId="0" borderId="3" xfId="0" applyFont="1" applyBorder="1" applyAlignment="1" applyProtection="1">
      <alignment horizontal="center" vertical="center" wrapText="1"/>
      <protection hidden="1"/>
    </xf>
    <xf numFmtId="0" fontId="39" fillId="0" borderId="12" xfId="0" applyFont="1" applyBorder="1" applyAlignment="1" applyProtection="1">
      <alignment horizontal="center" vertical="center" wrapText="1"/>
      <protection hidden="1"/>
    </xf>
    <xf numFmtId="0" fontId="34" fillId="0" borderId="4" xfId="0" applyFont="1" applyBorder="1" applyAlignment="1" applyProtection="1">
      <alignment horizontal="center"/>
      <protection hidden="1"/>
    </xf>
    <xf numFmtId="0" fontId="34" fillId="0" borderId="6" xfId="0" applyFont="1" applyBorder="1" applyAlignment="1" applyProtection="1">
      <alignment horizontal="center"/>
      <protection hidden="1"/>
    </xf>
    <xf numFmtId="0" fontId="34" fillId="0" borderId="4" xfId="0" applyFont="1" applyBorder="1" applyAlignment="1" applyProtection="1">
      <alignment horizontal="center" wrapText="1"/>
      <protection hidden="1"/>
    </xf>
    <xf numFmtId="0" fontId="34" fillId="0" borderId="6" xfId="0" applyFont="1" applyBorder="1" applyAlignment="1" applyProtection="1">
      <alignment horizontal="center" wrapText="1"/>
      <protection hidden="1"/>
    </xf>
    <xf numFmtId="10" fontId="14" fillId="3" borderId="0" xfId="2" applyNumberFormat="1" applyFont="1" applyFill="1" applyAlignment="1" applyProtection="1">
      <alignment horizontal="center"/>
      <protection locked="0"/>
    </xf>
    <xf numFmtId="0" fontId="27" fillId="3" borderId="0" xfId="0" applyFont="1" applyFill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center" vertical="center"/>
      <protection hidden="1"/>
    </xf>
    <xf numFmtId="0" fontId="40" fillId="0" borderId="0" xfId="0" applyFont="1" applyAlignment="1" applyProtection="1">
      <alignment horizontal="center" vertical="center"/>
      <protection hidden="1"/>
    </xf>
    <xf numFmtId="170" fontId="25" fillId="0" borderId="0" xfId="4" applyNumberFormat="1" applyFont="1" applyFill="1" applyAlignment="1" applyProtection="1">
      <alignment horizontal="center"/>
      <protection hidden="1"/>
    </xf>
    <xf numFmtId="0" fontId="43" fillId="3" borderId="0" xfId="0" applyFont="1" applyFill="1" applyAlignment="1" applyProtection="1">
      <alignment horizontal="center"/>
      <protection hidden="1"/>
    </xf>
    <xf numFmtId="0" fontId="51" fillId="3" borderId="0" xfId="0" applyFont="1" applyFill="1" applyAlignment="1" applyProtection="1">
      <alignment horizontal="center" vertical="center"/>
      <protection hidden="1"/>
    </xf>
    <xf numFmtId="0" fontId="23" fillId="0" borderId="0" xfId="0" applyFont="1" applyAlignment="1" applyProtection="1">
      <alignment horizontal="left" wrapText="1"/>
      <protection hidden="1"/>
    </xf>
    <xf numFmtId="0" fontId="23" fillId="0" borderId="0" xfId="0" applyFont="1" applyAlignment="1" applyProtection="1">
      <alignment horizontal="left"/>
      <protection hidden="1"/>
    </xf>
    <xf numFmtId="0" fontId="34" fillId="0" borderId="0" xfId="0" applyFont="1" applyAlignment="1" applyProtection="1">
      <alignment horizontal="center" wrapText="1"/>
      <protection hidden="1"/>
    </xf>
    <xf numFmtId="0" fontId="43" fillId="0" borderId="0" xfId="0" applyFont="1" applyAlignment="1" applyProtection="1">
      <alignment horizontal="center"/>
      <protection hidden="1"/>
    </xf>
    <xf numFmtId="0" fontId="34" fillId="0" borderId="5" xfId="0" applyFont="1" applyBorder="1" applyAlignment="1" applyProtection="1">
      <alignment horizontal="center"/>
      <protection hidden="1"/>
    </xf>
    <xf numFmtId="0" fontId="23" fillId="0" borderId="8" xfId="0" applyFont="1" applyBorder="1" applyAlignment="1" applyProtection="1">
      <alignment horizontal="center"/>
      <protection hidden="1"/>
    </xf>
    <xf numFmtId="0" fontId="23" fillId="0" borderId="9" xfId="0" applyFont="1" applyBorder="1" applyAlignment="1" applyProtection="1">
      <alignment horizontal="center"/>
      <protection hidden="1"/>
    </xf>
    <xf numFmtId="9" fontId="48" fillId="0" borderId="29" xfId="2" applyFont="1" applyFill="1" applyBorder="1" applyAlignment="1" applyProtection="1">
      <alignment horizontal="center" vertical="center"/>
      <protection hidden="1"/>
    </xf>
    <xf numFmtId="9" fontId="48" fillId="0" borderId="30" xfId="2" applyFont="1" applyFill="1" applyBorder="1" applyAlignment="1" applyProtection="1">
      <alignment horizontal="center" vertical="center"/>
      <protection hidden="1"/>
    </xf>
    <xf numFmtId="9" fontId="48" fillId="0" borderId="31" xfId="2" applyFont="1" applyFill="1" applyBorder="1" applyAlignment="1" applyProtection="1">
      <alignment horizontal="center" vertical="center"/>
      <protection hidden="1"/>
    </xf>
    <xf numFmtId="9" fontId="19" fillId="3" borderId="0" xfId="2" applyFont="1" applyFill="1" applyAlignment="1" applyProtection="1">
      <alignment horizontal="center" vertical="center"/>
      <protection hidden="1"/>
    </xf>
    <xf numFmtId="9" fontId="19" fillId="0" borderId="0" xfId="2" applyFont="1" applyFill="1" applyAlignment="1" applyProtection="1">
      <alignment vertical="center"/>
      <protection hidden="1"/>
    </xf>
  </cellXfs>
  <cellStyles count="7">
    <cellStyle name="Hipervínculo" xfId="5" builtinId="8"/>
    <cellStyle name="Millares" xfId="4" builtinId="3"/>
    <cellStyle name="Millares_Modelo Financiero ACME Final 2" xfId="3" xr:uid="{00000000-0005-0000-0000-000002000000}"/>
    <cellStyle name="Moneda" xfId="1" builtinId="4"/>
    <cellStyle name="Normal" xfId="0" builtinId="0"/>
    <cellStyle name="Normal 2" xfId="6" xr:uid="{00000000-0005-0000-0000-000005000000}"/>
    <cellStyle name="Porcentaje" xfId="2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4.9989318521683403E-2"/>
      </font>
      <fill>
        <patternFill>
          <bgColor rgb="FF00B05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316022"/>
      <color rgb="FF355B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Simulacion!$D$31</c:f>
              <c:strCache>
                <c:ptCount val="1"/>
                <c:pt idx="0">
                  <c:v>COSTOS FIJO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Simulacion!$C$32:$C$34</c:f>
              <c:numCache>
                <c:formatCode>_(* #.##000_);_(* \(#.##000\);_(* "-"??_);_(@_)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Simulacion!$D$32:$D$34</c:f>
              <c:numCache>
                <c:formatCode>_("$"\ * #.##000_);_("$"\ * \(#.##000\);_("$"\ 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79-4BFE-9417-0186D0F8B071}"/>
            </c:ext>
          </c:extLst>
        </c:ser>
        <c:ser>
          <c:idx val="1"/>
          <c:order val="1"/>
          <c:tx>
            <c:strRef>
              <c:f>Simulacion!$E$31</c:f>
              <c:strCache>
                <c:ptCount val="1"/>
                <c:pt idx="0">
                  <c:v>INGRESOS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Simulacion!$C$32:$C$34</c:f>
              <c:numCache>
                <c:formatCode>_(* #.##000_);_(* \(#.##000\);_(* "-"??_);_(@_)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Simulacion!$E$32:$E$34</c:f>
              <c:numCache>
                <c:formatCode>_("$"\ * #.##000_);_("$"\ * \(#.##000\);_("$"\ * "-"??_);_(@_)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79-4BFE-9417-0186D0F8B071}"/>
            </c:ext>
          </c:extLst>
        </c:ser>
        <c:ser>
          <c:idx val="2"/>
          <c:order val="2"/>
          <c:tx>
            <c:strRef>
              <c:f>Simulacion!$G$32</c:f>
              <c:strCache>
                <c:ptCount val="1"/>
                <c:pt idx="0">
                  <c:v>COSTO TOTAL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Simulacion!$C$32:$C$34</c:f>
              <c:numCache>
                <c:formatCode>_(* #.##000_);_(* \(#.##000\);_(* "-"??_);_(@_)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Simulacion!$G$33:$G$35</c:f>
              <c:numCache>
                <c:formatCode>_("$"\ * #.##000_);_("$"\ * \(#.##000\);_("$"\ 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79-4BFE-9417-0186D0F8B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640448"/>
        <c:axId val="123654528"/>
      </c:lineChart>
      <c:catAx>
        <c:axId val="12364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3654528"/>
        <c:crosses val="autoZero"/>
        <c:auto val="1"/>
        <c:lblAlgn val="ctr"/>
        <c:lblOffset val="100"/>
        <c:noMultiLvlLbl val="0"/>
      </c:catAx>
      <c:valAx>
        <c:axId val="1236545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$&quot;\ * #.##000_);_(&quot;$&quot;\ * \(#.##000\);_(&quot;$&quot;\ 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364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0</xdr:row>
      <xdr:rowOff>128588</xdr:rowOff>
    </xdr:from>
    <xdr:to>
      <xdr:col>8</xdr:col>
      <xdr:colOff>734111</xdr:colOff>
      <xdr:row>16</xdr:row>
      <xdr:rowOff>66675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A139FBC-9645-F8A1-7B70-300C83B3A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28588"/>
          <a:ext cx="5610911" cy="2833687"/>
        </a:xfrm>
        <a:prstGeom prst="rect">
          <a:avLst/>
        </a:prstGeom>
      </xdr:spPr>
    </xdr:pic>
    <xdr:clientData/>
  </xdr:twoCellAnchor>
  <xdr:oneCellAnchor>
    <xdr:from>
      <xdr:col>9</xdr:col>
      <xdr:colOff>257175</xdr:colOff>
      <xdr:row>19</xdr:row>
      <xdr:rowOff>66675</xdr:rowOff>
    </xdr:from>
    <xdr:ext cx="184731" cy="264560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53175" y="3495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CO" sz="1100"/>
        </a:p>
      </xdr:txBody>
    </xdr:sp>
    <xdr:clientData/>
  </xdr:oneCellAnchor>
  <xdr:twoCellAnchor>
    <xdr:from>
      <xdr:col>1</xdr:col>
      <xdr:colOff>492441</xdr:colOff>
      <xdr:row>12</xdr:row>
      <xdr:rowOff>105727</xdr:rowOff>
    </xdr:from>
    <xdr:to>
      <xdr:col>5</xdr:col>
      <xdr:colOff>13334</xdr:colOff>
      <xdr:row>15</xdr:row>
      <xdr:rowOff>83819</xdr:rowOff>
    </xdr:to>
    <xdr:sp macro="[0]!ThisWorkbook.btn_proyeccion_ventas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254441" y="2277427"/>
          <a:ext cx="2568893" cy="521017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>
              <a:latin typeface="Century" panose="02040604050505020304" pitchFamily="18" charset="0"/>
              <a:cs typeface="Arial" pitchFamily="34" charset="0"/>
            </a:rPr>
            <a:t>PROYECCIÓN</a:t>
          </a:r>
          <a:r>
            <a:rPr lang="es-CO" sz="1400" b="1" baseline="0">
              <a:latin typeface="Century" panose="02040604050505020304" pitchFamily="18" charset="0"/>
              <a:cs typeface="Arial" pitchFamily="34" charset="0"/>
            </a:rPr>
            <a:t> DE VENTAS </a:t>
          </a:r>
          <a:endParaRPr lang="es-CO" sz="1400" b="1">
            <a:latin typeface="Century" panose="02040604050505020304" pitchFamily="18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499110</xdr:colOff>
      <xdr:row>16</xdr:row>
      <xdr:rowOff>161925</xdr:rowOff>
    </xdr:from>
    <xdr:to>
      <xdr:col>5</xdr:col>
      <xdr:colOff>14287</xdr:colOff>
      <xdr:row>19</xdr:row>
      <xdr:rowOff>140018</xdr:rowOff>
    </xdr:to>
    <xdr:sp macro="[0]!ThisWorkbook.btn_gastos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261110" y="3057525"/>
          <a:ext cx="2563177" cy="521018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Arial" pitchFamily="34" charset="0"/>
            </a:rPr>
            <a:t>GASTOS</a:t>
          </a:r>
        </a:p>
      </xdr:txBody>
    </xdr:sp>
    <xdr:clientData/>
  </xdr:twoCellAnchor>
  <xdr:twoCellAnchor>
    <xdr:from>
      <xdr:col>5</xdr:col>
      <xdr:colOff>431482</xdr:colOff>
      <xdr:row>12</xdr:row>
      <xdr:rowOff>100012</xdr:rowOff>
    </xdr:from>
    <xdr:to>
      <xdr:col>8</xdr:col>
      <xdr:colOff>706754</xdr:colOff>
      <xdr:row>15</xdr:row>
      <xdr:rowOff>82867</xdr:rowOff>
    </xdr:to>
    <xdr:sp macro="[0]!ThisWorkbook.btn_financiacion" textlink="">
      <xdr:nvSpPr>
        <xdr:cNvPr id="6" name="5 CuadroText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241482" y="2271712"/>
          <a:ext cx="2561272" cy="525780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Arial" pitchFamily="34" charset="0"/>
            </a:rPr>
            <a:t>INVERSIÓN Y FINANCIACIÓN</a:t>
          </a:r>
        </a:p>
      </xdr:txBody>
    </xdr:sp>
    <xdr:clientData/>
  </xdr:twoCellAnchor>
  <xdr:twoCellAnchor>
    <xdr:from>
      <xdr:col>5</xdr:col>
      <xdr:colOff>408622</xdr:colOff>
      <xdr:row>16</xdr:row>
      <xdr:rowOff>149542</xdr:rowOff>
    </xdr:from>
    <xdr:to>
      <xdr:col>8</xdr:col>
      <xdr:colOff>691515</xdr:colOff>
      <xdr:row>19</xdr:row>
      <xdr:rowOff>133349</xdr:rowOff>
    </xdr:to>
    <xdr:sp macro="[0]!ThisWorkbook.btn_balances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218622" y="3045142"/>
          <a:ext cx="2568893" cy="526732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Arial" pitchFamily="34" charset="0"/>
            </a:rPr>
            <a:t>INFORMACION FINANCIERA</a:t>
          </a:r>
        </a:p>
      </xdr:txBody>
    </xdr:sp>
    <xdr:clientData/>
  </xdr:twoCellAnchor>
  <xdr:twoCellAnchor>
    <xdr:from>
      <xdr:col>3</xdr:col>
      <xdr:colOff>446722</xdr:colOff>
      <xdr:row>21</xdr:row>
      <xdr:rowOff>47625</xdr:rowOff>
    </xdr:from>
    <xdr:to>
      <xdr:col>6</xdr:col>
      <xdr:colOff>723900</xdr:colOff>
      <xdr:row>23</xdr:row>
      <xdr:rowOff>130492</xdr:rowOff>
    </xdr:to>
    <xdr:sp macro="[0]!ThisWorkbook.btn_simulacion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732722" y="3848100"/>
          <a:ext cx="2563178" cy="521017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Arial" pitchFamily="34" charset="0"/>
            </a:rPr>
            <a:t>SIMULACION</a:t>
          </a:r>
        </a:p>
      </xdr:txBody>
    </xdr:sp>
    <xdr:clientData/>
  </xdr:twoCellAnchor>
  <xdr:twoCellAnchor>
    <xdr:from>
      <xdr:col>1</xdr:col>
      <xdr:colOff>59055</xdr:colOff>
      <xdr:row>25</xdr:row>
      <xdr:rowOff>153352</xdr:rowOff>
    </xdr:from>
    <xdr:to>
      <xdr:col>5</xdr:col>
      <xdr:colOff>47625</xdr:colOff>
      <xdr:row>31</xdr:row>
      <xdr:rowOff>86678</xdr:rowOff>
    </xdr:to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821055" y="4753927"/>
          <a:ext cx="3036570" cy="1019176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>
            <a:lnSpc>
              <a:spcPts val="900"/>
            </a:lnSpc>
          </a:pPr>
          <a:r>
            <a:rPr lang="es-CO" sz="1000" b="1">
              <a:latin typeface="Times New Roman" panose="02020603050405020304" pitchFamily="18" charset="0"/>
              <a:cs typeface="Times New Roman" panose="02020603050405020304" pitchFamily="18" charset="0"/>
            </a:rPr>
            <a:t>Creado</a:t>
          </a: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por:</a:t>
          </a:r>
        </a:p>
        <a:p>
          <a:pPr>
            <a:lnSpc>
              <a:spcPts val="900"/>
            </a:lnSpc>
          </a:pPr>
          <a:endParaRPr lang="es-CO" sz="1000" b="1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900"/>
            </a:lnSpc>
          </a:pPr>
          <a:r>
            <a:rPr lang="es-CO" sz="1000" b="1">
              <a:latin typeface="Times New Roman" panose="02020603050405020304" pitchFamily="18" charset="0"/>
              <a:cs typeface="Times New Roman" panose="02020603050405020304" pitchFamily="18" charset="0"/>
            </a:rPr>
            <a:t>Darwin Steven</a:t>
          </a: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Berrio Alvarez</a:t>
          </a:r>
        </a:p>
        <a:p>
          <a:pPr>
            <a:lnSpc>
              <a:spcPts val="900"/>
            </a:lnSpc>
          </a:pP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Gerente de Contabilidad y Analitica</a:t>
          </a:r>
        </a:p>
        <a:p>
          <a:pPr>
            <a:lnSpc>
              <a:spcPts val="900"/>
            </a:lnSpc>
          </a:pP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Berrio &amp; Asociados SAS</a:t>
          </a:r>
        </a:p>
        <a:p>
          <a:pPr>
            <a:lnSpc>
              <a:spcPts val="900"/>
            </a:lnSpc>
          </a:pPr>
          <a:endParaRPr lang="es-CO" sz="10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900"/>
            </a:lnSpc>
          </a:pP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Contacto: contador@berrioasociados.com</a:t>
          </a:r>
        </a:p>
        <a:p>
          <a:pPr>
            <a:lnSpc>
              <a:spcPts val="900"/>
            </a:lnSpc>
          </a:pP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Instagram: @berrioasociados</a:t>
          </a:r>
        </a:p>
        <a:p>
          <a:pPr>
            <a:lnSpc>
              <a:spcPts val="900"/>
            </a:lnSpc>
          </a:pPr>
          <a:endParaRPr lang="es-CO" sz="10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900"/>
            </a:lnSpc>
          </a:pPr>
          <a:endParaRPr lang="es-CO" sz="10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900"/>
            </a:lnSpc>
          </a:pPr>
          <a:r>
            <a:rPr lang="es-CO" sz="800" b="1" baseline="0"/>
            <a:t> </a:t>
          </a:r>
        </a:p>
        <a:p>
          <a:pPr>
            <a:lnSpc>
              <a:spcPts val="500"/>
            </a:lnSpc>
          </a:pPr>
          <a:endParaRPr lang="es-CO" sz="5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565547</xdr:colOff>
      <xdr:row>32</xdr:row>
      <xdr:rowOff>29765</xdr:rowOff>
    </xdr:from>
    <xdr:to>
      <xdr:col>28</xdr:col>
      <xdr:colOff>500062</xdr:colOff>
      <xdr:row>35</xdr:row>
      <xdr:rowOff>65484</xdr:rowOff>
    </xdr:to>
    <xdr:sp macro="[0]!ThisWorkbook.btn_adelante" textlink="">
      <xdr:nvSpPr>
        <xdr:cNvPr id="2" name="Flecha: a la derecha 1">
          <a:extLst>
            <a:ext uri="{FF2B5EF4-FFF2-40B4-BE49-F238E27FC236}">
              <a16:creationId xmlns:a16="http://schemas.microsoft.com/office/drawing/2014/main" id="{403144AE-CD6C-5C62-A910-8727AF058B0F}"/>
            </a:ext>
          </a:extLst>
        </xdr:cNvPr>
        <xdr:cNvSpPr/>
      </xdr:nvSpPr>
      <xdr:spPr>
        <a:xfrm>
          <a:off x="10864453" y="6971109"/>
          <a:ext cx="1053703" cy="714375"/>
        </a:xfrm>
        <a:prstGeom prst="righ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666751</xdr:colOff>
      <xdr:row>32</xdr:row>
      <xdr:rowOff>0</xdr:rowOff>
    </xdr:from>
    <xdr:to>
      <xdr:col>5</xdr:col>
      <xdr:colOff>423770</xdr:colOff>
      <xdr:row>35</xdr:row>
      <xdr:rowOff>34144</xdr:rowOff>
    </xdr:to>
    <xdr:sp macro="[0]!ThisWorkbook.btn_atras" textlink="">
      <xdr:nvSpPr>
        <xdr:cNvPr id="3" name="Flecha: hacia la izquierda 2">
          <a:extLst>
            <a:ext uri="{FF2B5EF4-FFF2-40B4-BE49-F238E27FC236}">
              <a16:creationId xmlns:a16="http://schemas.microsoft.com/office/drawing/2014/main" id="{A21BD55D-3277-A832-F35A-EC8283387264}"/>
            </a:ext>
          </a:extLst>
        </xdr:cNvPr>
        <xdr:cNvSpPr/>
      </xdr:nvSpPr>
      <xdr:spPr>
        <a:xfrm>
          <a:off x="5000626" y="6941344"/>
          <a:ext cx="1054800" cy="71280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363141</xdr:colOff>
      <xdr:row>32</xdr:row>
      <xdr:rowOff>47624</xdr:rowOff>
    </xdr:from>
    <xdr:to>
      <xdr:col>3</xdr:col>
      <xdr:colOff>446484</xdr:colOff>
      <xdr:row>34</xdr:row>
      <xdr:rowOff>130969</xdr:rowOff>
    </xdr:to>
    <xdr:sp macro="[0]!ThisWorkbook.btn_menu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5FBEB96-39A3-28E9-4E69-9C833904DCC3}"/>
            </a:ext>
          </a:extLst>
        </xdr:cNvPr>
        <xdr:cNvSpPr/>
      </xdr:nvSpPr>
      <xdr:spPr>
        <a:xfrm>
          <a:off x="601266" y="6988968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352425</xdr:colOff>
      <xdr:row>3</xdr:row>
      <xdr:rowOff>28575</xdr:rowOff>
    </xdr:from>
    <xdr:to>
      <xdr:col>8</xdr:col>
      <xdr:colOff>586978</xdr:colOff>
      <xdr:row>6</xdr:row>
      <xdr:rowOff>152400</xdr:rowOff>
    </xdr:to>
    <xdr:sp macro="[0]!ThisWorkbook.btn_adelante" textlink="">
      <xdr:nvSpPr>
        <xdr:cNvPr id="2" name="Flecha: a la derecha 1">
          <a:extLst>
            <a:ext uri="{FF2B5EF4-FFF2-40B4-BE49-F238E27FC236}">
              <a16:creationId xmlns:a16="http://schemas.microsoft.com/office/drawing/2014/main" id="{0E69B9FC-BA5B-4C7E-9063-BC51233C5B77}"/>
            </a:ext>
          </a:extLst>
        </xdr:cNvPr>
        <xdr:cNvSpPr/>
      </xdr:nvSpPr>
      <xdr:spPr>
        <a:xfrm>
          <a:off x="8596313" y="561975"/>
          <a:ext cx="1053703" cy="714375"/>
        </a:xfrm>
        <a:prstGeom prst="righ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314325</xdr:colOff>
      <xdr:row>10</xdr:row>
      <xdr:rowOff>195263</xdr:rowOff>
    </xdr:from>
    <xdr:to>
      <xdr:col>8</xdr:col>
      <xdr:colOff>572691</xdr:colOff>
      <xdr:row>14</xdr:row>
      <xdr:rowOff>79773</xdr:rowOff>
    </xdr:to>
    <xdr:sp macro="[0]!ThisWorkbook.btn_atras" textlink="">
      <xdr:nvSpPr>
        <xdr:cNvPr id="3" name="Flecha: hacia la izquierda 2">
          <a:extLst>
            <a:ext uri="{FF2B5EF4-FFF2-40B4-BE49-F238E27FC236}">
              <a16:creationId xmlns:a16="http://schemas.microsoft.com/office/drawing/2014/main" id="{075B413D-94F6-48E1-8EF8-B30A3CFEA1E3}"/>
            </a:ext>
          </a:extLst>
        </xdr:cNvPr>
        <xdr:cNvSpPr/>
      </xdr:nvSpPr>
      <xdr:spPr>
        <a:xfrm>
          <a:off x="8558213" y="2109788"/>
          <a:ext cx="1077516" cy="68461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314325</xdr:colOff>
      <xdr:row>18</xdr:row>
      <xdr:rowOff>76201</xdr:rowOff>
    </xdr:from>
    <xdr:to>
      <xdr:col>11</xdr:col>
      <xdr:colOff>359568</xdr:colOff>
      <xdr:row>21</xdr:row>
      <xdr:rowOff>50008</xdr:rowOff>
    </xdr:to>
    <xdr:sp macro="[0]!ThisWorkbook.btn_menu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CC68C38-E4F7-4879-989B-3914F7C7A442}"/>
            </a:ext>
          </a:extLst>
        </xdr:cNvPr>
        <xdr:cNvSpPr/>
      </xdr:nvSpPr>
      <xdr:spPr>
        <a:xfrm>
          <a:off x="8558213" y="3581401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71438</xdr:colOff>
      <xdr:row>20</xdr:row>
      <xdr:rowOff>85725</xdr:rowOff>
    </xdr:from>
    <xdr:to>
      <xdr:col>4</xdr:col>
      <xdr:colOff>426244</xdr:colOff>
      <xdr:row>23</xdr:row>
      <xdr:rowOff>126207</xdr:rowOff>
    </xdr:to>
    <xdr:sp macro="[0]!ThisWorkbook.btn_menu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9694EDB-6209-438E-84A4-FEF26DE5D271}"/>
            </a:ext>
          </a:extLst>
        </xdr:cNvPr>
        <xdr:cNvSpPr/>
      </xdr:nvSpPr>
      <xdr:spPr>
        <a:xfrm>
          <a:off x="447676" y="4343400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1347787</xdr:colOff>
      <xdr:row>19</xdr:row>
      <xdr:rowOff>42863</xdr:rowOff>
    </xdr:from>
    <xdr:to>
      <xdr:col>10</xdr:col>
      <xdr:colOff>977503</xdr:colOff>
      <xdr:row>23</xdr:row>
      <xdr:rowOff>33338</xdr:rowOff>
    </xdr:to>
    <xdr:sp macro="[0]!ThisWorkbook.btn_adelante" textlink="">
      <xdr:nvSpPr>
        <xdr:cNvPr id="3" name="Flecha: a la derecha 2">
          <a:extLst>
            <a:ext uri="{FF2B5EF4-FFF2-40B4-BE49-F238E27FC236}">
              <a16:creationId xmlns:a16="http://schemas.microsoft.com/office/drawing/2014/main" id="{DBE49601-98D4-41E6-9C09-7BF1FD12223A}"/>
            </a:ext>
          </a:extLst>
        </xdr:cNvPr>
        <xdr:cNvSpPr/>
      </xdr:nvSpPr>
      <xdr:spPr>
        <a:xfrm>
          <a:off x="10039350" y="4119563"/>
          <a:ext cx="1053703" cy="714375"/>
        </a:xfrm>
        <a:prstGeom prst="righ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5</xdr:col>
      <xdr:colOff>914400</xdr:colOff>
      <xdr:row>19</xdr:row>
      <xdr:rowOff>47625</xdr:rowOff>
    </xdr:from>
    <xdr:to>
      <xdr:col>6</xdr:col>
      <xdr:colOff>1050038</xdr:colOff>
      <xdr:row>23</xdr:row>
      <xdr:rowOff>36525</xdr:rowOff>
    </xdr:to>
    <xdr:sp macro="[0]!ThisWorkbook.btn_atras" textlink="">
      <xdr:nvSpPr>
        <xdr:cNvPr id="4" name="Flecha: hacia la izquierda 3">
          <a:extLst>
            <a:ext uri="{FF2B5EF4-FFF2-40B4-BE49-F238E27FC236}">
              <a16:creationId xmlns:a16="http://schemas.microsoft.com/office/drawing/2014/main" id="{9A4684A7-9A02-4F11-97BA-0C90D0A77DB8}"/>
            </a:ext>
          </a:extLst>
        </xdr:cNvPr>
        <xdr:cNvSpPr/>
      </xdr:nvSpPr>
      <xdr:spPr>
        <a:xfrm>
          <a:off x="5414963" y="4124325"/>
          <a:ext cx="1054800" cy="71280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566208</xdr:colOff>
      <xdr:row>64</xdr:row>
      <xdr:rowOff>15875</xdr:rowOff>
    </xdr:from>
    <xdr:to>
      <xdr:col>5</xdr:col>
      <xdr:colOff>388049</xdr:colOff>
      <xdr:row>68</xdr:row>
      <xdr:rowOff>9009</xdr:rowOff>
    </xdr:to>
    <xdr:sp macro="[0]!ThisWorkbook.btn_atras" textlink="">
      <xdr:nvSpPr>
        <xdr:cNvPr id="2" name="Flecha: hacia la izquierda 1">
          <a:extLst>
            <a:ext uri="{FF2B5EF4-FFF2-40B4-BE49-F238E27FC236}">
              <a16:creationId xmlns:a16="http://schemas.microsoft.com/office/drawing/2014/main" id="{5C1CCB40-186D-4F06-B84A-788F3F163A1B}"/>
            </a:ext>
          </a:extLst>
        </xdr:cNvPr>
        <xdr:cNvSpPr/>
      </xdr:nvSpPr>
      <xdr:spPr>
        <a:xfrm>
          <a:off x="7053791" y="12387792"/>
          <a:ext cx="1054800" cy="71280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359833</xdr:colOff>
      <xdr:row>64</xdr:row>
      <xdr:rowOff>0</xdr:rowOff>
    </xdr:from>
    <xdr:to>
      <xdr:col>8</xdr:col>
      <xdr:colOff>95911</xdr:colOff>
      <xdr:row>67</xdr:row>
      <xdr:rowOff>174625</xdr:rowOff>
    </xdr:to>
    <xdr:sp macro="[0]!ThisWorkbook.btn_adelante" textlink="">
      <xdr:nvSpPr>
        <xdr:cNvPr id="3" name="Flecha: a la derecha 2">
          <a:extLst>
            <a:ext uri="{FF2B5EF4-FFF2-40B4-BE49-F238E27FC236}">
              <a16:creationId xmlns:a16="http://schemas.microsoft.com/office/drawing/2014/main" id="{C4CB4FDB-BB57-46AF-84C2-144CFE03AF66}"/>
            </a:ext>
          </a:extLst>
        </xdr:cNvPr>
        <xdr:cNvSpPr/>
      </xdr:nvSpPr>
      <xdr:spPr>
        <a:xfrm>
          <a:off x="10715625" y="12371917"/>
          <a:ext cx="1053703" cy="714375"/>
        </a:xfrm>
        <a:prstGeom prst="righ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428625</xdr:colOff>
      <xdr:row>64</xdr:row>
      <xdr:rowOff>79375</xdr:rowOff>
    </xdr:from>
    <xdr:to>
      <xdr:col>2</xdr:col>
      <xdr:colOff>1628510</xdr:colOff>
      <xdr:row>67</xdr:row>
      <xdr:rowOff>123032</xdr:rowOff>
    </xdr:to>
    <xdr:sp macro="[0]!ThisWorkbook.btn_menu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A7B30C0-D70D-4A11-BCC2-B84F3DCF539F}"/>
            </a:ext>
          </a:extLst>
        </xdr:cNvPr>
        <xdr:cNvSpPr/>
      </xdr:nvSpPr>
      <xdr:spPr>
        <a:xfrm>
          <a:off x="1121834" y="12451292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185736</xdr:colOff>
      <xdr:row>5</xdr:row>
      <xdr:rowOff>171448</xdr:rowOff>
    </xdr:from>
    <xdr:to>
      <xdr:col>14</xdr:col>
      <xdr:colOff>535305</xdr:colOff>
      <xdr:row>15</xdr:row>
      <xdr:rowOff>74295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297657</xdr:colOff>
      <xdr:row>33</xdr:row>
      <xdr:rowOff>17860</xdr:rowOff>
    </xdr:from>
    <xdr:to>
      <xdr:col>3</xdr:col>
      <xdr:colOff>1000125</xdr:colOff>
      <xdr:row>36</xdr:row>
      <xdr:rowOff>65485</xdr:rowOff>
    </xdr:to>
    <xdr:sp macro="[0]!ThisWorkbook.btn_menu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42D7DD3-96B2-43D2-BD7B-DD881B511638}"/>
            </a:ext>
          </a:extLst>
        </xdr:cNvPr>
        <xdr:cNvSpPr/>
      </xdr:nvSpPr>
      <xdr:spPr>
        <a:xfrm>
          <a:off x="1559720" y="7983141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1232297</xdr:colOff>
      <xdr:row>32</xdr:row>
      <xdr:rowOff>148828</xdr:rowOff>
    </xdr:from>
    <xdr:to>
      <xdr:col>5</xdr:col>
      <xdr:colOff>929785</xdr:colOff>
      <xdr:row>36</xdr:row>
      <xdr:rowOff>147253</xdr:rowOff>
    </xdr:to>
    <xdr:sp macro="[0]!ThisWorkbook.btn_atras" textlink="">
      <xdr:nvSpPr>
        <xdr:cNvPr id="4" name="Flecha: hacia la izquierda 3">
          <a:extLst>
            <a:ext uri="{FF2B5EF4-FFF2-40B4-BE49-F238E27FC236}">
              <a16:creationId xmlns:a16="http://schemas.microsoft.com/office/drawing/2014/main" id="{4D648CCC-F322-4ED9-A089-F185D226FE7D}"/>
            </a:ext>
          </a:extLst>
        </xdr:cNvPr>
        <xdr:cNvSpPr/>
      </xdr:nvSpPr>
      <xdr:spPr>
        <a:xfrm>
          <a:off x="6316266" y="7935516"/>
          <a:ext cx="1054800" cy="71280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B2:J32"/>
  <sheetViews>
    <sheetView showGridLines="0" tabSelected="1" zoomScaleNormal="100" zoomScaleSheetLayoutView="100" workbookViewId="0">
      <selection activeCell="G23" sqref="G23:H23"/>
    </sheetView>
  </sheetViews>
  <sheetFormatPr baseColWidth="10" defaultRowHeight="14.25" x14ac:dyDescent="0.45"/>
  <cols>
    <col min="1" max="16384" width="10.6640625" style="4"/>
  </cols>
  <sheetData>
    <row r="2" spans="2:10" x14ac:dyDescent="0.45">
      <c r="B2"/>
      <c r="C2"/>
      <c r="D2"/>
      <c r="E2"/>
      <c r="F2"/>
      <c r="G2"/>
      <c r="H2"/>
      <c r="I2"/>
      <c r="J2"/>
    </row>
    <row r="3" spans="2:10" x14ac:dyDescent="0.45">
      <c r="B3"/>
      <c r="C3"/>
      <c r="D3"/>
      <c r="E3"/>
      <c r="F3"/>
      <c r="G3"/>
      <c r="H3"/>
      <c r="I3"/>
      <c r="J3"/>
    </row>
    <row r="4" spans="2:10" x14ac:dyDescent="0.45">
      <c r="B4"/>
      <c r="C4"/>
      <c r="D4"/>
      <c r="E4"/>
      <c r="F4"/>
      <c r="G4"/>
      <c r="H4"/>
      <c r="I4"/>
      <c r="J4"/>
    </row>
    <row r="5" spans="2:10" x14ac:dyDescent="0.45">
      <c r="B5"/>
      <c r="C5"/>
      <c r="D5"/>
      <c r="E5"/>
      <c r="F5"/>
      <c r="G5"/>
      <c r="H5"/>
      <c r="I5"/>
      <c r="J5"/>
    </row>
    <row r="6" spans="2:10" x14ac:dyDescent="0.45">
      <c r="B6"/>
      <c r="C6"/>
      <c r="D6"/>
      <c r="E6"/>
      <c r="F6"/>
      <c r="G6"/>
      <c r="H6"/>
      <c r="I6"/>
      <c r="J6"/>
    </row>
    <row r="7" spans="2:10" x14ac:dyDescent="0.45">
      <c r="B7"/>
      <c r="C7"/>
      <c r="D7"/>
      <c r="E7"/>
      <c r="F7"/>
      <c r="G7"/>
      <c r="H7"/>
      <c r="I7"/>
      <c r="J7"/>
    </row>
    <row r="8" spans="2:10" x14ac:dyDescent="0.45">
      <c r="B8"/>
      <c r="C8"/>
      <c r="D8"/>
      <c r="E8"/>
      <c r="F8"/>
      <c r="G8"/>
      <c r="H8"/>
      <c r="I8"/>
      <c r="J8"/>
    </row>
    <row r="9" spans="2:10" x14ac:dyDescent="0.45">
      <c r="B9"/>
      <c r="C9"/>
      <c r="D9"/>
      <c r="E9"/>
      <c r="F9"/>
      <c r="G9"/>
      <c r="H9"/>
      <c r="I9"/>
      <c r="J9"/>
    </row>
    <row r="10" spans="2:10" x14ac:dyDescent="0.45">
      <c r="B10"/>
      <c r="C10"/>
      <c r="D10"/>
      <c r="E10"/>
      <c r="F10"/>
      <c r="G10"/>
      <c r="H10"/>
      <c r="I10"/>
      <c r="J10"/>
    </row>
    <row r="11" spans="2:10" x14ac:dyDescent="0.45">
      <c r="B11"/>
      <c r="C11"/>
      <c r="D11"/>
      <c r="E11"/>
      <c r="F11"/>
      <c r="G11"/>
      <c r="H11"/>
      <c r="I11"/>
      <c r="J11"/>
    </row>
    <row r="12" spans="2:10" x14ac:dyDescent="0.45">
      <c r="B12"/>
      <c r="C12"/>
      <c r="D12"/>
      <c r="E12"/>
      <c r="F12"/>
      <c r="G12"/>
      <c r="H12"/>
      <c r="I12"/>
      <c r="J12"/>
    </row>
    <row r="13" spans="2:10" x14ac:dyDescent="0.45">
      <c r="B13"/>
      <c r="C13"/>
      <c r="D13"/>
      <c r="E13"/>
      <c r="F13"/>
      <c r="G13"/>
      <c r="H13"/>
      <c r="I13"/>
      <c r="J13"/>
    </row>
    <row r="14" spans="2:10" x14ac:dyDescent="0.45">
      <c r="B14"/>
      <c r="C14"/>
      <c r="D14"/>
      <c r="E14"/>
      <c r="F14"/>
      <c r="G14"/>
      <c r="H14"/>
      <c r="I14"/>
      <c r="J14"/>
    </row>
    <row r="15" spans="2:10" x14ac:dyDescent="0.45">
      <c r="B15"/>
      <c r="C15"/>
      <c r="D15"/>
      <c r="E15"/>
      <c r="F15"/>
      <c r="G15"/>
      <c r="H15"/>
      <c r="I15"/>
      <c r="J15"/>
    </row>
    <row r="16" spans="2:10" x14ac:dyDescent="0.45">
      <c r="B16"/>
      <c r="C16"/>
      <c r="D16"/>
      <c r="E16"/>
      <c r="F16"/>
      <c r="G16"/>
      <c r="H16"/>
      <c r="I16"/>
      <c r="J16"/>
    </row>
    <row r="17" spans="2:10" x14ac:dyDescent="0.45">
      <c r="B17"/>
      <c r="C17"/>
      <c r="D17"/>
      <c r="E17"/>
      <c r="F17"/>
      <c r="G17"/>
      <c r="H17"/>
      <c r="I17"/>
      <c r="J17"/>
    </row>
    <row r="18" spans="2:10" x14ac:dyDescent="0.45">
      <c r="B18"/>
      <c r="C18"/>
      <c r="D18"/>
      <c r="E18"/>
      <c r="F18"/>
      <c r="G18"/>
      <c r="H18"/>
      <c r="I18"/>
      <c r="J18"/>
    </row>
    <row r="19" spans="2:10" x14ac:dyDescent="0.45">
      <c r="B19"/>
      <c r="C19"/>
      <c r="D19"/>
      <c r="E19"/>
      <c r="F19"/>
      <c r="G19"/>
      <c r="H19"/>
      <c r="I19"/>
      <c r="J19"/>
    </row>
    <row r="20" spans="2:10" x14ac:dyDescent="0.45">
      <c r="B20"/>
      <c r="C20"/>
      <c r="D20"/>
      <c r="E20"/>
      <c r="F20"/>
      <c r="G20"/>
      <c r="H20"/>
      <c r="I20"/>
      <c r="J20"/>
    </row>
    <row r="21" spans="2:10" x14ac:dyDescent="0.45">
      <c r="B21"/>
      <c r="C21"/>
      <c r="D21"/>
      <c r="E21"/>
      <c r="F21"/>
      <c r="G21"/>
      <c r="H21"/>
      <c r="I21"/>
      <c r="J21"/>
    </row>
    <row r="22" spans="2:10" x14ac:dyDescent="0.45">
      <c r="B22"/>
      <c r="C22"/>
      <c r="D22"/>
      <c r="E22"/>
      <c r="F22"/>
      <c r="G22"/>
      <c r="H22"/>
      <c r="I22"/>
      <c r="J22"/>
    </row>
    <row r="23" spans="2:10" ht="20.25" x14ac:dyDescent="0.55000000000000004">
      <c r="B23"/>
      <c r="C23"/>
      <c r="D23"/>
      <c r="E23"/>
      <c r="F23"/>
      <c r="G23" s="179"/>
      <c r="H23" s="179"/>
      <c r="I23"/>
      <c r="J23"/>
    </row>
    <row r="24" spans="2:10" x14ac:dyDescent="0.45">
      <c r="B24"/>
      <c r="C24"/>
      <c r="D24"/>
      <c r="E24"/>
      <c r="F24"/>
      <c r="G24"/>
      <c r="H24"/>
      <c r="I24"/>
      <c r="J24"/>
    </row>
    <row r="25" spans="2:10" x14ac:dyDescent="0.45">
      <c r="B25"/>
      <c r="C25"/>
      <c r="D25"/>
      <c r="E25"/>
      <c r="F25"/>
      <c r="G25"/>
      <c r="H25"/>
      <c r="I25"/>
      <c r="J25"/>
    </row>
    <row r="26" spans="2:10" x14ac:dyDescent="0.45">
      <c r="B26"/>
      <c r="C26"/>
      <c r="D26"/>
      <c r="E26"/>
      <c r="F26"/>
      <c r="G26"/>
      <c r="H26"/>
      <c r="I26"/>
      <c r="J26"/>
    </row>
    <row r="27" spans="2:10" x14ac:dyDescent="0.45">
      <c r="B27"/>
      <c r="C27"/>
      <c r="D27"/>
      <c r="E27"/>
      <c r="F27"/>
      <c r="G27"/>
      <c r="H27"/>
      <c r="I27"/>
      <c r="J27"/>
    </row>
    <row r="28" spans="2:10" x14ac:dyDescent="0.45">
      <c r="B28"/>
      <c r="C28"/>
      <c r="D28"/>
      <c r="E28"/>
      <c r="F28"/>
      <c r="G28"/>
      <c r="H28"/>
      <c r="I28"/>
      <c r="J28"/>
    </row>
    <row r="29" spans="2:10" x14ac:dyDescent="0.45">
      <c r="B29"/>
      <c r="C29"/>
      <c r="D29"/>
      <c r="E29"/>
      <c r="F29"/>
      <c r="G29"/>
      <c r="H29"/>
      <c r="I29"/>
      <c r="J29"/>
    </row>
    <row r="30" spans="2:10" x14ac:dyDescent="0.45">
      <c r="B30"/>
      <c r="C30"/>
      <c r="D30"/>
      <c r="E30"/>
      <c r="F30"/>
      <c r="G30"/>
      <c r="H30"/>
      <c r="I30"/>
      <c r="J30"/>
    </row>
    <row r="31" spans="2:10" x14ac:dyDescent="0.45">
      <c r="B31"/>
      <c r="C31"/>
      <c r="D31"/>
      <c r="E31"/>
      <c r="F31"/>
      <c r="G31"/>
      <c r="H31"/>
      <c r="I31"/>
      <c r="J31"/>
    </row>
    <row r="32" spans="2:10" x14ac:dyDescent="0.45">
      <c r="B32"/>
      <c r="C32"/>
      <c r="D32"/>
      <c r="E32"/>
      <c r="F32"/>
      <c r="G32"/>
      <c r="H32"/>
      <c r="I32"/>
      <c r="J32"/>
    </row>
  </sheetData>
  <sheetProtection algorithmName="SHA-512" hashValue="qMYMYC3mPprmgwq+iE0gDINjFQi/ooyDwKL4PJKrG/dV/hj/tQbfg1gZfjbKbJU6lprMrZyYtTpH9/wv5VBROg==" saltValue="sSdmD0maTdOHDSjElDeMAA==" spinCount="100000"/>
  <mergeCells count="1">
    <mergeCell ref="G23:H23"/>
  </mergeCells>
  <pageMargins left="0.7" right="0.7" top="0.75" bottom="0.75" header="0.3" footer="0.3"/>
  <pageSetup paperSize="9" scale="6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2:AF33"/>
  <sheetViews>
    <sheetView showGridLines="0" zoomScale="80" zoomScaleNormal="80" workbookViewId="0">
      <selection activeCell="D25" sqref="D25"/>
    </sheetView>
  </sheetViews>
  <sheetFormatPr baseColWidth="10" defaultColWidth="11.46484375" defaultRowHeight="14.25" x14ac:dyDescent="0.45"/>
  <cols>
    <col min="1" max="1" width="3.33203125" style="5" customWidth="1"/>
    <col min="2" max="2" width="7.53125" style="5" customWidth="1"/>
    <col min="3" max="3" width="37.86328125" style="5" bestFit="1" customWidth="1"/>
    <col min="4" max="4" width="12" style="5" customWidth="1"/>
    <col min="5" max="5" width="18.19921875" style="5" customWidth="1"/>
    <col min="6" max="6" width="16.265625" style="5" customWidth="1"/>
    <col min="7" max="7" width="15.86328125" style="5" bestFit="1" customWidth="1"/>
    <col min="8" max="8" width="12.9296875" style="5" customWidth="1"/>
    <col min="9" max="12" width="9.46484375" style="5" hidden="1" customWidth="1"/>
    <col min="13" max="13" width="4.33203125" style="5" hidden="1" customWidth="1"/>
    <col min="14" max="17" width="11.46484375" style="5" hidden="1" customWidth="1"/>
    <col min="18" max="21" width="12" style="5" hidden="1" customWidth="1"/>
    <col min="22" max="25" width="15.53125" style="5" hidden="1" customWidth="1"/>
    <col min="26" max="26" width="5.06640625" style="5" hidden="1" customWidth="1"/>
    <col min="27" max="27" width="20.33203125" style="5" bestFit="1" customWidth="1"/>
    <col min="28" max="30" width="15.6640625" style="5" bestFit="1" customWidth="1"/>
    <col min="31" max="32" width="16.265625" style="5" bestFit="1" customWidth="1"/>
    <col min="33" max="16384" width="11.46484375" style="5"/>
  </cols>
  <sheetData>
    <row r="2" spans="2:32" ht="14.65" thickBot="1" x14ac:dyDescent="0.5"/>
    <row r="3" spans="2:32" ht="32.25" customHeight="1" thickBot="1" x14ac:dyDescent="0.6">
      <c r="B3" s="187" t="s">
        <v>128</v>
      </c>
      <c r="C3" s="188"/>
      <c r="D3" s="188"/>
      <c r="E3" s="188"/>
      <c r="F3" s="188"/>
      <c r="G3" s="189"/>
      <c r="R3" s="5" t="s">
        <v>11</v>
      </c>
      <c r="AA3" s="183" t="s">
        <v>100</v>
      </c>
      <c r="AB3" s="184"/>
      <c r="AC3" s="184"/>
      <c r="AD3" s="185"/>
      <c r="AE3" s="37" t="s">
        <v>5</v>
      </c>
      <c r="AF3" s="36">
        <v>2023</v>
      </c>
    </row>
    <row r="4" spans="2:32" ht="47.65" customHeight="1" thickBot="1" x14ac:dyDescent="0.55000000000000004">
      <c r="B4" s="13" t="s">
        <v>97</v>
      </c>
      <c r="C4" s="14" t="s">
        <v>1</v>
      </c>
      <c r="D4" s="15" t="s">
        <v>99</v>
      </c>
      <c r="E4" s="14" t="s">
        <v>3</v>
      </c>
      <c r="F4" s="14" t="s">
        <v>0</v>
      </c>
      <c r="G4" s="16" t="s">
        <v>101</v>
      </c>
      <c r="H4" s="6"/>
      <c r="N4" s="5">
        <f>AA4</f>
        <v>2024</v>
      </c>
      <c r="O4" s="5">
        <f>AB4</f>
        <v>2025</v>
      </c>
      <c r="P4" s="5">
        <f>O4+1</f>
        <v>2026</v>
      </c>
      <c r="Q4" s="5">
        <f>P4+1</f>
        <v>2027</v>
      </c>
      <c r="R4" s="5" t="s">
        <v>8</v>
      </c>
      <c r="S4" s="5" t="s">
        <v>7</v>
      </c>
      <c r="T4" s="5" t="s">
        <v>16</v>
      </c>
      <c r="U4" s="5" t="s">
        <v>17</v>
      </c>
      <c r="V4" s="5" t="s">
        <v>12</v>
      </c>
      <c r="W4" s="5" t="s">
        <v>13</v>
      </c>
      <c r="X4" s="5" t="s">
        <v>18</v>
      </c>
      <c r="Y4" s="5" t="s">
        <v>19</v>
      </c>
      <c r="AA4" s="22">
        <f>Ventas!AF3+1</f>
        <v>2024</v>
      </c>
      <c r="AB4" s="22">
        <f>AA4+1</f>
        <v>2025</v>
      </c>
      <c r="AC4" s="22">
        <f t="shared" ref="AC4:AD4" si="0">AB4+1</f>
        <v>2026</v>
      </c>
      <c r="AD4" s="23">
        <f t="shared" si="0"/>
        <v>2027</v>
      </c>
    </row>
    <row r="5" spans="2:32" x14ac:dyDescent="0.45">
      <c r="B5" s="17">
        <v>1</v>
      </c>
      <c r="C5" s="128"/>
      <c r="D5" s="126">
        <v>0</v>
      </c>
      <c r="E5" s="126">
        <v>0</v>
      </c>
      <c r="F5" s="127">
        <f>D5*E5</f>
        <v>0</v>
      </c>
      <c r="G5" s="18">
        <f t="shared" ref="G5:G14" si="1">IF($F$15=0,0,F5/$F$15)</f>
        <v>0</v>
      </c>
      <c r="M5" s="7"/>
      <c r="N5" s="8">
        <f t="shared" ref="N5:N14" si="2">D5*(1+AA5)</f>
        <v>0</v>
      </c>
      <c r="O5" s="8">
        <f t="shared" ref="O5:O14" si="3">N5*(1+AB5)</f>
        <v>0</v>
      </c>
      <c r="P5" s="8">
        <f t="shared" ref="P5:P14" si="4">O5*(1+AC5)</f>
        <v>0</v>
      </c>
      <c r="Q5" s="8">
        <f t="shared" ref="Q5:Q14" si="5">P5*(1+AD5)</f>
        <v>0</v>
      </c>
      <c r="R5" s="8">
        <f>E5*(1+Ventas!$AB$28)</f>
        <v>0</v>
      </c>
      <c r="S5" s="8">
        <f>R5*(1+Ventas!$AC$28)</f>
        <v>0</v>
      </c>
      <c r="T5" s="8">
        <f>S5*(1+Ventas!$AD$28)</f>
        <v>0</v>
      </c>
      <c r="U5" s="8">
        <f>T5*(1+Ventas!$AE$28)</f>
        <v>0</v>
      </c>
      <c r="V5" s="8">
        <f>N5*R5</f>
        <v>0</v>
      </c>
      <c r="W5" s="8">
        <f>O5*S5</f>
        <v>0</v>
      </c>
      <c r="X5" s="8">
        <f>P5*T5</f>
        <v>0</v>
      </c>
      <c r="Y5" s="8">
        <f>Q5*U5</f>
        <v>0</v>
      </c>
      <c r="Z5" s="9"/>
      <c r="AA5" s="39">
        <v>0.05</v>
      </c>
      <c r="AB5" s="40">
        <v>0.05</v>
      </c>
      <c r="AC5" s="40">
        <v>0.05</v>
      </c>
      <c r="AD5" s="41">
        <v>0.05</v>
      </c>
    </row>
    <row r="6" spans="2:32" x14ac:dyDescent="0.45">
      <c r="B6" s="17">
        <f>B5+1</f>
        <v>2</v>
      </c>
      <c r="C6" s="128"/>
      <c r="D6" s="126">
        <v>0</v>
      </c>
      <c r="E6" s="126">
        <v>0</v>
      </c>
      <c r="F6" s="127">
        <f t="shared" ref="F6:F14" si="6">D6*E6</f>
        <v>0</v>
      </c>
      <c r="G6" s="18">
        <f t="shared" si="1"/>
        <v>0</v>
      </c>
      <c r="M6" s="7"/>
      <c r="N6" s="8">
        <f t="shared" si="2"/>
        <v>0</v>
      </c>
      <c r="O6" s="8">
        <f t="shared" si="3"/>
        <v>0</v>
      </c>
      <c r="P6" s="8">
        <f t="shared" si="4"/>
        <v>0</v>
      </c>
      <c r="Q6" s="8">
        <f t="shared" si="5"/>
        <v>0</v>
      </c>
      <c r="R6" s="8">
        <f>E6*(1+Ventas!$AB$28)</f>
        <v>0</v>
      </c>
      <c r="S6" s="8">
        <f>R6*(1+Ventas!$AC$28)</f>
        <v>0</v>
      </c>
      <c r="T6" s="8">
        <f>S6*(1+Ventas!$AD$28)</f>
        <v>0</v>
      </c>
      <c r="U6" s="8">
        <f>T6*(1+Ventas!$AE$28)</f>
        <v>0</v>
      </c>
      <c r="V6" s="8">
        <f t="shared" ref="V6:V14" si="7">N6*R6</f>
        <v>0</v>
      </c>
      <c r="W6" s="8">
        <f t="shared" ref="W6:W14" si="8">O6*S6</f>
        <v>0</v>
      </c>
      <c r="X6" s="8">
        <f t="shared" ref="X6:X14" si="9">P6*T6</f>
        <v>0</v>
      </c>
      <c r="Y6" s="8">
        <f t="shared" ref="Y6:Y14" si="10">Q6*U6</f>
        <v>0</v>
      </c>
      <c r="Z6" s="9"/>
      <c r="AA6" s="42">
        <v>0</v>
      </c>
      <c r="AB6" s="35">
        <v>0</v>
      </c>
      <c r="AC6" s="35">
        <v>0</v>
      </c>
      <c r="AD6" s="43">
        <v>0</v>
      </c>
    </row>
    <row r="7" spans="2:32" x14ac:dyDescent="0.45">
      <c r="B7" s="17">
        <f t="shared" ref="B7:B14" si="11">B6+1</f>
        <v>3</v>
      </c>
      <c r="C7" s="128"/>
      <c r="D7" s="126">
        <v>0</v>
      </c>
      <c r="E7" s="126">
        <v>0</v>
      </c>
      <c r="F7" s="127">
        <f t="shared" si="6"/>
        <v>0</v>
      </c>
      <c r="G7" s="18">
        <f t="shared" si="1"/>
        <v>0</v>
      </c>
      <c r="M7" s="7"/>
      <c r="N7" s="8">
        <f t="shared" si="2"/>
        <v>0</v>
      </c>
      <c r="O7" s="8">
        <f t="shared" si="3"/>
        <v>0</v>
      </c>
      <c r="P7" s="8">
        <f t="shared" si="4"/>
        <v>0</v>
      </c>
      <c r="Q7" s="8">
        <f t="shared" si="5"/>
        <v>0</v>
      </c>
      <c r="R7" s="8">
        <f>E7*(1+Ventas!$AB$28)</f>
        <v>0</v>
      </c>
      <c r="S7" s="8">
        <f>R7*(1+Ventas!$AC$28)</f>
        <v>0</v>
      </c>
      <c r="T7" s="8">
        <f>S7*(1+Ventas!$AD$28)</f>
        <v>0</v>
      </c>
      <c r="U7" s="8">
        <f>T7*(1+Ventas!$AE$28)</f>
        <v>0</v>
      </c>
      <c r="V7" s="8">
        <f t="shared" si="7"/>
        <v>0</v>
      </c>
      <c r="W7" s="8">
        <f t="shared" si="8"/>
        <v>0</v>
      </c>
      <c r="X7" s="8">
        <f t="shared" si="9"/>
        <v>0</v>
      </c>
      <c r="Y7" s="8">
        <f t="shared" si="10"/>
        <v>0</v>
      </c>
      <c r="Z7" s="9"/>
      <c r="AA7" s="42">
        <v>0</v>
      </c>
      <c r="AB7" s="35">
        <v>0</v>
      </c>
      <c r="AC7" s="35">
        <v>0</v>
      </c>
      <c r="AD7" s="43">
        <v>0</v>
      </c>
    </row>
    <row r="8" spans="2:32" x14ac:dyDescent="0.45">
      <c r="B8" s="17">
        <f t="shared" si="11"/>
        <v>4</v>
      </c>
      <c r="C8" s="128"/>
      <c r="D8" s="126">
        <v>0</v>
      </c>
      <c r="E8" s="126">
        <v>0</v>
      </c>
      <c r="F8" s="127">
        <f t="shared" si="6"/>
        <v>0</v>
      </c>
      <c r="G8" s="18">
        <f t="shared" si="1"/>
        <v>0</v>
      </c>
      <c r="M8" s="7"/>
      <c r="N8" s="8">
        <f t="shared" si="2"/>
        <v>0</v>
      </c>
      <c r="O8" s="8">
        <f t="shared" si="3"/>
        <v>0</v>
      </c>
      <c r="P8" s="8">
        <f t="shared" si="4"/>
        <v>0</v>
      </c>
      <c r="Q8" s="8">
        <f t="shared" si="5"/>
        <v>0</v>
      </c>
      <c r="R8" s="8">
        <f>E8*(1+Ventas!$AB$28)</f>
        <v>0</v>
      </c>
      <c r="S8" s="8">
        <f>R8*(1+Ventas!$AC$28)</f>
        <v>0</v>
      </c>
      <c r="T8" s="8">
        <f>S8*(1+Ventas!$AD$28)</f>
        <v>0</v>
      </c>
      <c r="U8" s="8">
        <f>T8*(1+Ventas!$AE$28)</f>
        <v>0</v>
      </c>
      <c r="V8" s="8">
        <f t="shared" si="7"/>
        <v>0</v>
      </c>
      <c r="W8" s="8">
        <f t="shared" si="8"/>
        <v>0</v>
      </c>
      <c r="X8" s="8">
        <f t="shared" si="9"/>
        <v>0</v>
      </c>
      <c r="Y8" s="8">
        <f t="shared" si="10"/>
        <v>0</v>
      </c>
      <c r="Z8" s="9"/>
      <c r="AA8" s="42">
        <v>0</v>
      </c>
      <c r="AB8" s="35">
        <v>0</v>
      </c>
      <c r="AC8" s="35">
        <v>0</v>
      </c>
      <c r="AD8" s="43">
        <v>0</v>
      </c>
    </row>
    <row r="9" spans="2:32" x14ac:dyDescent="0.45">
      <c r="B9" s="17">
        <f t="shared" si="11"/>
        <v>5</v>
      </c>
      <c r="C9" s="128"/>
      <c r="D9" s="126">
        <v>0</v>
      </c>
      <c r="E9" s="126">
        <v>0</v>
      </c>
      <c r="F9" s="127">
        <f t="shared" si="6"/>
        <v>0</v>
      </c>
      <c r="G9" s="18">
        <f t="shared" si="1"/>
        <v>0</v>
      </c>
      <c r="M9" s="7"/>
      <c r="N9" s="8">
        <f t="shared" si="2"/>
        <v>0</v>
      </c>
      <c r="O9" s="8">
        <f t="shared" si="3"/>
        <v>0</v>
      </c>
      <c r="P9" s="8">
        <f t="shared" si="4"/>
        <v>0</v>
      </c>
      <c r="Q9" s="8">
        <f t="shared" si="5"/>
        <v>0</v>
      </c>
      <c r="R9" s="8">
        <f>E9*(1+Ventas!$AB$28)</f>
        <v>0</v>
      </c>
      <c r="S9" s="8">
        <f>R9*(1+Ventas!$AC$28)</f>
        <v>0</v>
      </c>
      <c r="T9" s="8">
        <f>S9*(1+Ventas!$AD$28)</f>
        <v>0</v>
      </c>
      <c r="U9" s="8">
        <f>T9*(1+Ventas!$AE$28)</f>
        <v>0</v>
      </c>
      <c r="V9" s="8">
        <f t="shared" si="7"/>
        <v>0</v>
      </c>
      <c r="W9" s="8">
        <f t="shared" si="8"/>
        <v>0</v>
      </c>
      <c r="X9" s="8">
        <f t="shared" si="9"/>
        <v>0</v>
      </c>
      <c r="Y9" s="8">
        <f t="shared" si="10"/>
        <v>0</v>
      </c>
      <c r="Z9" s="9"/>
      <c r="AA9" s="42">
        <v>0</v>
      </c>
      <c r="AB9" s="35">
        <v>0</v>
      </c>
      <c r="AC9" s="35">
        <v>0</v>
      </c>
      <c r="AD9" s="43">
        <v>0</v>
      </c>
    </row>
    <row r="10" spans="2:32" x14ac:dyDescent="0.45">
      <c r="B10" s="17">
        <f t="shared" si="11"/>
        <v>6</v>
      </c>
      <c r="C10" s="128"/>
      <c r="D10" s="126">
        <v>0</v>
      </c>
      <c r="E10" s="126">
        <v>0</v>
      </c>
      <c r="F10" s="127">
        <f t="shared" si="6"/>
        <v>0</v>
      </c>
      <c r="G10" s="18">
        <f t="shared" si="1"/>
        <v>0</v>
      </c>
      <c r="M10" s="7"/>
      <c r="N10" s="8">
        <f t="shared" si="2"/>
        <v>0</v>
      </c>
      <c r="O10" s="8">
        <f t="shared" si="3"/>
        <v>0</v>
      </c>
      <c r="P10" s="8">
        <f t="shared" si="4"/>
        <v>0</v>
      </c>
      <c r="Q10" s="8">
        <f t="shared" si="5"/>
        <v>0</v>
      </c>
      <c r="R10" s="8">
        <f>E10*(1+Ventas!$AB$28)</f>
        <v>0</v>
      </c>
      <c r="S10" s="8">
        <f>R10*(1+Ventas!$AC$28)</f>
        <v>0</v>
      </c>
      <c r="T10" s="8">
        <f>S10*(1+Ventas!$AD$28)</f>
        <v>0</v>
      </c>
      <c r="U10" s="8">
        <f>T10*(1+Ventas!$AE$28)</f>
        <v>0</v>
      </c>
      <c r="V10" s="8">
        <f t="shared" si="7"/>
        <v>0</v>
      </c>
      <c r="W10" s="8">
        <f t="shared" si="8"/>
        <v>0</v>
      </c>
      <c r="X10" s="8">
        <f t="shared" si="9"/>
        <v>0</v>
      </c>
      <c r="Y10" s="8">
        <f t="shared" si="10"/>
        <v>0</v>
      </c>
      <c r="Z10" s="9"/>
      <c r="AA10" s="42">
        <v>0</v>
      </c>
      <c r="AB10" s="35">
        <v>0</v>
      </c>
      <c r="AC10" s="35">
        <v>0</v>
      </c>
      <c r="AD10" s="43">
        <v>0</v>
      </c>
    </row>
    <row r="11" spans="2:32" x14ac:dyDescent="0.45">
      <c r="B11" s="17">
        <f t="shared" si="11"/>
        <v>7</v>
      </c>
      <c r="C11" s="128"/>
      <c r="D11" s="126">
        <v>0</v>
      </c>
      <c r="E11" s="126">
        <v>0</v>
      </c>
      <c r="F11" s="127">
        <f t="shared" si="6"/>
        <v>0</v>
      </c>
      <c r="G11" s="18">
        <f t="shared" si="1"/>
        <v>0</v>
      </c>
      <c r="M11" s="7"/>
      <c r="N11" s="8">
        <f t="shared" si="2"/>
        <v>0</v>
      </c>
      <c r="O11" s="8">
        <f t="shared" si="3"/>
        <v>0</v>
      </c>
      <c r="P11" s="8">
        <f t="shared" si="4"/>
        <v>0</v>
      </c>
      <c r="Q11" s="8">
        <f t="shared" si="5"/>
        <v>0</v>
      </c>
      <c r="R11" s="8">
        <f>E11*(1+Ventas!$AB$28)</f>
        <v>0</v>
      </c>
      <c r="S11" s="8">
        <f>R11*(1+Ventas!$AC$28)</f>
        <v>0</v>
      </c>
      <c r="T11" s="8">
        <f>S11*(1+Ventas!$AD$28)</f>
        <v>0</v>
      </c>
      <c r="U11" s="8">
        <f>T11*(1+Ventas!$AE$28)</f>
        <v>0</v>
      </c>
      <c r="V11" s="8">
        <f t="shared" si="7"/>
        <v>0</v>
      </c>
      <c r="W11" s="8">
        <f t="shared" si="8"/>
        <v>0</v>
      </c>
      <c r="X11" s="8">
        <f t="shared" si="9"/>
        <v>0</v>
      </c>
      <c r="Y11" s="8">
        <f t="shared" si="10"/>
        <v>0</v>
      </c>
      <c r="Z11" s="9"/>
      <c r="AA11" s="42">
        <v>0</v>
      </c>
      <c r="AB11" s="35">
        <v>0</v>
      </c>
      <c r="AC11" s="35">
        <v>0</v>
      </c>
      <c r="AD11" s="43">
        <v>0</v>
      </c>
    </row>
    <row r="12" spans="2:32" x14ac:dyDescent="0.45">
      <c r="B12" s="17">
        <f t="shared" si="11"/>
        <v>8</v>
      </c>
      <c r="C12" s="128"/>
      <c r="D12" s="126">
        <v>0</v>
      </c>
      <c r="E12" s="126">
        <v>0</v>
      </c>
      <c r="F12" s="127">
        <f t="shared" si="6"/>
        <v>0</v>
      </c>
      <c r="G12" s="18">
        <f t="shared" si="1"/>
        <v>0</v>
      </c>
      <c r="M12" s="7"/>
      <c r="N12" s="8">
        <f t="shared" si="2"/>
        <v>0</v>
      </c>
      <c r="O12" s="8">
        <f t="shared" si="3"/>
        <v>0</v>
      </c>
      <c r="P12" s="8">
        <f t="shared" si="4"/>
        <v>0</v>
      </c>
      <c r="Q12" s="8">
        <f t="shared" si="5"/>
        <v>0</v>
      </c>
      <c r="R12" s="8">
        <f>E12*(1+Ventas!$AB$28)</f>
        <v>0</v>
      </c>
      <c r="S12" s="8">
        <f>R12*(1+Ventas!$AC$28)</f>
        <v>0</v>
      </c>
      <c r="T12" s="8">
        <f>S12*(1+Ventas!$AD$28)</f>
        <v>0</v>
      </c>
      <c r="U12" s="8">
        <f>T12*(1+Ventas!$AE$28)</f>
        <v>0</v>
      </c>
      <c r="V12" s="8">
        <f t="shared" si="7"/>
        <v>0</v>
      </c>
      <c r="W12" s="8">
        <f t="shared" si="8"/>
        <v>0</v>
      </c>
      <c r="X12" s="8">
        <f t="shared" si="9"/>
        <v>0</v>
      </c>
      <c r="Y12" s="8">
        <f t="shared" si="10"/>
        <v>0</v>
      </c>
      <c r="Z12" s="9"/>
      <c r="AA12" s="42">
        <v>0</v>
      </c>
      <c r="AB12" s="35">
        <v>0</v>
      </c>
      <c r="AC12" s="35">
        <v>0</v>
      </c>
      <c r="AD12" s="43">
        <v>0</v>
      </c>
    </row>
    <row r="13" spans="2:32" x14ac:dyDescent="0.45">
      <c r="B13" s="17">
        <f t="shared" si="11"/>
        <v>9</v>
      </c>
      <c r="C13" s="128"/>
      <c r="D13" s="126">
        <v>0</v>
      </c>
      <c r="E13" s="126">
        <v>0</v>
      </c>
      <c r="F13" s="127">
        <f t="shared" si="6"/>
        <v>0</v>
      </c>
      <c r="G13" s="18">
        <f t="shared" si="1"/>
        <v>0</v>
      </c>
      <c r="M13" s="7"/>
      <c r="N13" s="8">
        <f t="shared" si="2"/>
        <v>0</v>
      </c>
      <c r="O13" s="8">
        <f t="shared" si="3"/>
        <v>0</v>
      </c>
      <c r="P13" s="8">
        <f t="shared" si="4"/>
        <v>0</v>
      </c>
      <c r="Q13" s="8">
        <f t="shared" si="5"/>
        <v>0</v>
      </c>
      <c r="R13" s="8">
        <f>E13*(1+Ventas!$AB$28)</f>
        <v>0</v>
      </c>
      <c r="S13" s="8">
        <f>R13*(1+Ventas!$AC$28)</f>
        <v>0</v>
      </c>
      <c r="T13" s="8">
        <f>S13*(1+Ventas!$AD$28)</f>
        <v>0</v>
      </c>
      <c r="U13" s="8">
        <f>T13*(1+Ventas!$AE$28)</f>
        <v>0</v>
      </c>
      <c r="V13" s="8">
        <f t="shared" si="7"/>
        <v>0</v>
      </c>
      <c r="W13" s="8">
        <f t="shared" si="8"/>
        <v>0</v>
      </c>
      <c r="X13" s="8">
        <f t="shared" si="9"/>
        <v>0</v>
      </c>
      <c r="Y13" s="8">
        <f t="shared" si="10"/>
        <v>0</v>
      </c>
      <c r="Z13" s="9"/>
      <c r="AA13" s="42">
        <v>0</v>
      </c>
      <c r="AB13" s="35">
        <v>0</v>
      </c>
      <c r="AC13" s="35">
        <v>0</v>
      </c>
      <c r="AD13" s="43">
        <v>0</v>
      </c>
    </row>
    <row r="14" spans="2:32" ht="14.65" thickBot="1" x14ac:dyDescent="0.5">
      <c r="B14" s="17">
        <f t="shared" si="11"/>
        <v>10</v>
      </c>
      <c r="C14" s="128"/>
      <c r="D14" s="126">
        <v>0</v>
      </c>
      <c r="E14" s="126">
        <v>0</v>
      </c>
      <c r="F14" s="127">
        <f t="shared" si="6"/>
        <v>0</v>
      </c>
      <c r="G14" s="18">
        <f t="shared" si="1"/>
        <v>0</v>
      </c>
      <c r="M14" s="7"/>
      <c r="N14" s="8">
        <f t="shared" si="2"/>
        <v>0</v>
      </c>
      <c r="O14" s="8">
        <f t="shared" si="3"/>
        <v>0</v>
      </c>
      <c r="P14" s="8">
        <f t="shared" si="4"/>
        <v>0</v>
      </c>
      <c r="Q14" s="8">
        <f t="shared" si="5"/>
        <v>0</v>
      </c>
      <c r="R14" s="8">
        <f>E14*(1+Ventas!$AB$28)</f>
        <v>0</v>
      </c>
      <c r="S14" s="8">
        <f>R14*(1+Ventas!$AC$28)</f>
        <v>0</v>
      </c>
      <c r="T14" s="8">
        <f>S14*(1+Ventas!$AD$28)</f>
        <v>0</v>
      </c>
      <c r="U14" s="8">
        <f>T14*(1+Ventas!$AE$28)</f>
        <v>0</v>
      </c>
      <c r="V14" s="8">
        <f t="shared" si="7"/>
        <v>0</v>
      </c>
      <c r="W14" s="8">
        <f t="shared" si="8"/>
        <v>0</v>
      </c>
      <c r="X14" s="8">
        <f t="shared" si="9"/>
        <v>0</v>
      </c>
      <c r="Y14" s="8">
        <f t="shared" si="10"/>
        <v>0</v>
      </c>
      <c r="Z14" s="9"/>
      <c r="AA14" s="44">
        <v>0</v>
      </c>
      <c r="AB14" s="45">
        <v>0</v>
      </c>
      <c r="AC14" s="45">
        <v>0</v>
      </c>
      <c r="AD14" s="46">
        <v>0</v>
      </c>
    </row>
    <row r="15" spans="2:32" ht="14.65" thickBot="1" x14ac:dyDescent="0.5">
      <c r="B15" s="19"/>
      <c r="C15" s="20"/>
      <c r="D15" s="20"/>
      <c r="E15" s="20" t="s">
        <v>4</v>
      </c>
      <c r="F15" s="20">
        <f>SUM(F5:F14)</f>
        <v>0</v>
      </c>
      <c r="G15" s="21">
        <f>SUM(G5:G14)</f>
        <v>0</v>
      </c>
      <c r="N15" s="8"/>
      <c r="O15" s="8"/>
      <c r="P15" s="8"/>
      <c r="Q15" s="8"/>
      <c r="R15" s="8"/>
      <c r="S15" s="8"/>
      <c r="T15" s="8"/>
      <c r="U15" s="8"/>
      <c r="V15" s="10">
        <f>SUM(V5:V14)</f>
        <v>0</v>
      </c>
      <c r="W15" s="10">
        <f>SUM(W5:W14)</f>
        <v>0</v>
      </c>
      <c r="X15" s="10">
        <f>SUM(X5:X14)</f>
        <v>0</v>
      </c>
      <c r="Y15" s="10">
        <f>SUM(Y5:Y14)</f>
        <v>0</v>
      </c>
      <c r="Z15" s="9"/>
    </row>
    <row r="16" spans="2:32" ht="14.65" thickBot="1" x14ac:dyDescent="0.5"/>
    <row r="17" spans="2:32" ht="23.25" customHeight="1" thickBot="1" x14ac:dyDescent="0.5">
      <c r="B17" s="187" t="s">
        <v>2</v>
      </c>
      <c r="C17" s="188"/>
      <c r="D17" s="188"/>
      <c r="E17" s="188"/>
      <c r="F17" s="188"/>
      <c r="G17" s="189"/>
      <c r="I17" s="11"/>
      <c r="AA17" s="180" t="s">
        <v>102</v>
      </c>
      <c r="AB17" s="181"/>
      <c r="AC17" s="181"/>
      <c r="AD17" s="181"/>
      <c r="AE17" s="181"/>
      <c r="AF17" s="182"/>
    </row>
    <row r="18" spans="2:32" ht="25.5" customHeight="1" thickBot="1" x14ac:dyDescent="0.5">
      <c r="B18" s="13" t="s">
        <v>97</v>
      </c>
      <c r="C18" s="14" t="s">
        <v>1</v>
      </c>
      <c r="D18" s="15" t="s">
        <v>99</v>
      </c>
      <c r="E18" s="14" t="s">
        <v>3</v>
      </c>
      <c r="F18" s="14" t="s">
        <v>0</v>
      </c>
      <c r="G18" s="16" t="s">
        <v>98</v>
      </c>
      <c r="N18" s="5">
        <f>N4</f>
        <v>2024</v>
      </c>
      <c r="O18" s="5">
        <f t="shared" ref="O18:Y18" si="12">O4</f>
        <v>2025</v>
      </c>
      <c r="P18" s="5">
        <f t="shared" si="12"/>
        <v>2026</v>
      </c>
      <c r="Q18" s="5">
        <f t="shared" si="12"/>
        <v>2027</v>
      </c>
      <c r="R18" s="5" t="str">
        <f t="shared" si="12"/>
        <v>AÑO 2</v>
      </c>
      <c r="S18" s="5" t="str">
        <f t="shared" si="12"/>
        <v>AÑO 3</v>
      </c>
      <c r="T18" s="5" t="str">
        <f t="shared" si="12"/>
        <v>AÑO 4</v>
      </c>
      <c r="U18" s="5" t="str">
        <f t="shared" si="12"/>
        <v>AÑO 5</v>
      </c>
      <c r="V18" s="5" t="str">
        <f t="shared" si="12"/>
        <v>año 2</v>
      </c>
      <c r="W18" s="5" t="str">
        <f t="shared" si="12"/>
        <v>año 3</v>
      </c>
      <c r="X18" s="5" t="str">
        <f t="shared" si="12"/>
        <v>año 4</v>
      </c>
      <c r="Y18" s="5" t="str">
        <f t="shared" si="12"/>
        <v>año 5</v>
      </c>
      <c r="AA18" s="31" t="s">
        <v>6</v>
      </c>
      <c r="AB18" s="32">
        <f>Ventas!AF3</f>
        <v>2023</v>
      </c>
      <c r="AC18" s="32">
        <f>AB18+1</f>
        <v>2024</v>
      </c>
      <c r="AD18" s="32">
        <f>AC18+1</f>
        <v>2025</v>
      </c>
      <c r="AE18" s="32">
        <f>AD18+1</f>
        <v>2026</v>
      </c>
      <c r="AF18" s="32">
        <f>AE18+1</f>
        <v>2027</v>
      </c>
    </row>
    <row r="19" spans="2:32" ht="14.65" thickBot="1" x14ac:dyDescent="0.5">
      <c r="B19" s="17">
        <f>B5</f>
        <v>1</v>
      </c>
      <c r="C19" s="128" t="str">
        <f t="shared" ref="C19:C20" si="13">IF(C5 = 0, " ",C5)</f>
        <v xml:space="preserve"> </v>
      </c>
      <c r="D19" s="126">
        <f>D5</f>
        <v>0</v>
      </c>
      <c r="E19" s="126">
        <v>0</v>
      </c>
      <c r="F19" s="127">
        <f>D19*E19</f>
        <v>0</v>
      </c>
      <c r="G19" s="18">
        <f t="shared" ref="G19:G28" si="14">IF($F$29=0,0,F19/$F$29)</f>
        <v>0</v>
      </c>
      <c r="N19" s="8">
        <f t="shared" ref="N19:N28" si="15">D19*(1+AA5)</f>
        <v>0</v>
      </c>
      <c r="O19" s="8">
        <f t="shared" ref="O19:O28" si="16">N19*(1+AB5)</f>
        <v>0</v>
      </c>
      <c r="P19" s="8">
        <f t="shared" ref="P19:P28" si="17">O19*(1+AC5)</f>
        <v>0</v>
      </c>
      <c r="Q19" s="8">
        <f t="shared" ref="Q19:Q28" si="18">P19*(1+AD5)</f>
        <v>0</v>
      </c>
      <c r="R19" s="8">
        <f>E19*(1+Ventas!$AB$29)</f>
        <v>0</v>
      </c>
      <c r="S19" s="8">
        <f>R19*(1+Ventas!$AC$29)</f>
        <v>0</v>
      </c>
      <c r="T19" s="8">
        <f>S19*(1+Ventas!$AD$29)</f>
        <v>0</v>
      </c>
      <c r="U19" s="8">
        <f>T19*(1+Ventas!$AE$29)</f>
        <v>0</v>
      </c>
      <c r="V19" s="8">
        <f t="shared" ref="V19:W21" si="19">N19*R19</f>
        <v>0</v>
      </c>
      <c r="W19" s="8">
        <f t="shared" si="19"/>
        <v>0</v>
      </c>
      <c r="X19" s="8">
        <f t="shared" ref="X19:Y19" si="20">P19*T19</f>
        <v>0</v>
      </c>
      <c r="Y19" s="8">
        <f t="shared" si="20"/>
        <v>0</v>
      </c>
      <c r="Z19" s="9"/>
      <c r="AA19" s="33" t="s">
        <v>14</v>
      </c>
      <c r="AB19" s="122">
        <f>Ventas!F15</f>
        <v>0</v>
      </c>
      <c r="AC19" s="122">
        <f>Ventas!V15</f>
        <v>0</v>
      </c>
      <c r="AD19" s="122">
        <f>Ventas!W15</f>
        <v>0</v>
      </c>
      <c r="AE19" s="122">
        <f>Ventas!X15</f>
        <v>0</v>
      </c>
      <c r="AF19" s="123">
        <f>Ventas!Y15</f>
        <v>0</v>
      </c>
    </row>
    <row r="20" spans="2:32" ht="14.65" thickBot="1" x14ac:dyDescent="0.5">
      <c r="B20" s="17">
        <f t="shared" ref="B20:B27" si="21">B6</f>
        <v>2</v>
      </c>
      <c r="C20" s="128" t="str">
        <f t="shared" si="13"/>
        <v xml:space="preserve"> </v>
      </c>
      <c r="D20" s="126">
        <f t="shared" ref="D20:D28" si="22">D6</f>
        <v>0</v>
      </c>
      <c r="E20" s="126">
        <v>0</v>
      </c>
      <c r="F20" s="127">
        <f t="shared" ref="F20:F28" si="23">D20*E20</f>
        <v>0</v>
      </c>
      <c r="G20" s="18">
        <f t="shared" si="14"/>
        <v>0</v>
      </c>
      <c r="N20" s="8">
        <f t="shared" si="15"/>
        <v>0</v>
      </c>
      <c r="O20" s="8">
        <f t="shared" si="16"/>
        <v>0</v>
      </c>
      <c r="P20" s="8">
        <f t="shared" si="17"/>
        <v>0</v>
      </c>
      <c r="Q20" s="8">
        <f t="shared" si="18"/>
        <v>0</v>
      </c>
      <c r="R20" s="8">
        <f>E20*(1+Ventas!$AB$29)</f>
        <v>0</v>
      </c>
      <c r="S20" s="8">
        <f>R20*(1+Ventas!$AC$29)</f>
        <v>0</v>
      </c>
      <c r="T20" s="8">
        <f>S20*(1+Ventas!$AD$29)</f>
        <v>0</v>
      </c>
      <c r="U20" s="8">
        <f>T20*(1+Ventas!$AE$29)</f>
        <v>0</v>
      </c>
      <c r="V20" s="8">
        <f t="shared" si="19"/>
        <v>0</v>
      </c>
      <c r="W20" s="8">
        <f t="shared" si="19"/>
        <v>0</v>
      </c>
      <c r="X20" s="8">
        <f t="shared" ref="X20:X28" si="24">P20*T20</f>
        <v>0</v>
      </c>
      <c r="Y20" s="8">
        <f t="shared" ref="Y20:Y28" si="25">Q20*U20</f>
        <v>0</v>
      </c>
      <c r="Z20" s="9"/>
      <c r="AA20" s="33" t="s">
        <v>15</v>
      </c>
      <c r="AB20" s="122">
        <f>Ventas!F29</f>
        <v>0</v>
      </c>
      <c r="AC20" s="122">
        <f>Ventas!V29</f>
        <v>0</v>
      </c>
      <c r="AD20" s="122">
        <f>Ventas!W29</f>
        <v>0</v>
      </c>
      <c r="AE20" s="122">
        <f>Ventas!X29</f>
        <v>0</v>
      </c>
      <c r="AF20" s="123">
        <f>Ventas!Y29</f>
        <v>0</v>
      </c>
    </row>
    <row r="21" spans="2:32" ht="14.65" thickBot="1" x14ac:dyDescent="0.5">
      <c r="B21" s="17">
        <f t="shared" si="21"/>
        <v>3</v>
      </c>
      <c r="C21" s="128" t="str">
        <f>IF(C7 = 0, " ",C7)</f>
        <v xml:space="preserve"> </v>
      </c>
      <c r="D21" s="126">
        <f t="shared" si="22"/>
        <v>0</v>
      </c>
      <c r="E21" s="126">
        <v>0</v>
      </c>
      <c r="F21" s="127">
        <f t="shared" si="23"/>
        <v>0</v>
      </c>
      <c r="G21" s="18">
        <f t="shared" si="14"/>
        <v>0</v>
      </c>
      <c r="N21" s="8">
        <f t="shared" si="15"/>
        <v>0</v>
      </c>
      <c r="O21" s="8">
        <f t="shared" si="16"/>
        <v>0</v>
      </c>
      <c r="P21" s="8">
        <f t="shared" si="17"/>
        <v>0</v>
      </c>
      <c r="Q21" s="8">
        <f t="shared" si="18"/>
        <v>0</v>
      </c>
      <c r="R21" s="8">
        <f>E21*(1+Ventas!$AB$29)</f>
        <v>0</v>
      </c>
      <c r="S21" s="8">
        <f>R21*(1+Ventas!$AC$29)</f>
        <v>0</v>
      </c>
      <c r="T21" s="8">
        <f>S21*(1+Ventas!$AD$29)</f>
        <v>0</v>
      </c>
      <c r="U21" s="8">
        <f>T21*(1+Ventas!$AE$29)</f>
        <v>0</v>
      </c>
      <c r="V21" s="8">
        <f t="shared" si="19"/>
        <v>0</v>
      </c>
      <c r="W21" s="8">
        <f t="shared" si="19"/>
        <v>0</v>
      </c>
      <c r="X21" s="8">
        <f t="shared" si="24"/>
        <v>0</v>
      </c>
      <c r="Y21" s="8">
        <f t="shared" si="25"/>
        <v>0</v>
      </c>
      <c r="Z21" s="9"/>
      <c r="AA21" s="34" t="s">
        <v>103</v>
      </c>
      <c r="AB21" s="124">
        <f>AB19-AB20</f>
        <v>0</v>
      </c>
      <c r="AC21" s="124">
        <f t="shared" ref="AC21:AD21" si="26">AC19-AC20</f>
        <v>0</v>
      </c>
      <c r="AD21" s="124">
        <f t="shared" si="26"/>
        <v>0</v>
      </c>
      <c r="AE21" s="124">
        <f t="shared" ref="AE21" si="27">AE19-AE20</f>
        <v>0</v>
      </c>
      <c r="AF21" s="125">
        <f t="shared" ref="AF21" si="28">AF19-AF20</f>
        <v>0</v>
      </c>
    </row>
    <row r="22" spans="2:32" x14ac:dyDescent="0.45">
      <c r="B22" s="17">
        <f t="shared" si="21"/>
        <v>4</v>
      </c>
      <c r="C22" s="128" t="str">
        <f t="shared" ref="C22:C28" si="29">IF(C8 = 0, " ",C8)</f>
        <v xml:space="preserve"> </v>
      </c>
      <c r="D22" s="126">
        <f t="shared" si="22"/>
        <v>0</v>
      </c>
      <c r="E22" s="126">
        <v>0</v>
      </c>
      <c r="F22" s="127">
        <f t="shared" si="23"/>
        <v>0</v>
      </c>
      <c r="G22" s="18">
        <f t="shared" si="14"/>
        <v>0</v>
      </c>
      <c r="N22" s="8">
        <f t="shared" si="15"/>
        <v>0</v>
      </c>
      <c r="O22" s="8">
        <f t="shared" si="16"/>
        <v>0</v>
      </c>
      <c r="P22" s="8">
        <f t="shared" si="17"/>
        <v>0</v>
      </c>
      <c r="Q22" s="8">
        <f t="shared" si="18"/>
        <v>0</v>
      </c>
      <c r="R22" s="8">
        <f>E22*(1+Ventas!$AB$29)</f>
        <v>0</v>
      </c>
      <c r="S22" s="8">
        <f>R22*(1+Ventas!$AC$29)</f>
        <v>0</v>
      </c>
      <c r="T22" s="8">
        <f>S22*(1+Ventas!$AD$29)</f>
        <v>0</v>
      </c>
      <c r="U22" s="8">
        <f>T22*(1+Ventas!$AE$29)</f>
        <v>0</v>
      </c>
      <c r="V22" s="8">
        <f t="shared" ref="V22:V28" si="30">N22*R22</f>
        <v>0</v>
      </c>
      <c r="W22" s="8">
        <f t="shared" ref="W22:W28" si="31">O22*S22</f>
        <v>0</v>
      </c>
      <c r="X22" s="8">
        <f t="shared" si="24"/>
        <v>0</v>
      </c>
      <c r="Y22" s="8">
        <f t="shared" si="25"/>
        <v>0</v>
      </c>
      <c r="Z22" s="9"/>
    </row>
    <row r="23" spans="2:32" x14ac:dyDescent="0.45">
      <c r="B23" s="17">
        <f t="shared" si="21"/>
        <v>5</v>
      </c>
      <c r="C23" s="128" t="str">
        <f t="shared" si="29"/>
        <v xml:space="preserve"> </v>
      </c>
      <c r="D23" s="126">
        <f t="shared" si="22"/>
        <v>0</v>
      </c>
      <c r="E23" s="126">
        <v>0</v>
      </c>
      <c r="F23" s="127">
        <f t="shared" si="23"/>
        <v>0</v>
      </c>
      <c r="G23" s="18">
        <f t="shared" si="14"/>
        <v>0</v>
      </c>
      <c r="N23" s="8">
        <f t="shared" si="15"/>
        <v>0</v>
      </c>
      <c r="O23" s="8">
        <f t="shared" si="16"/>
        <v>0</v>
      </c>
      <c r="P23" s="8">
        <f t="shared" si="17"/>
        <v>0</v>
      </c>
      <c r="Q23" s="8">
        <f t="shared" si="18"/>
        <v>0</v>
      </c>
      <c r="R23" s="8">
        <f>E23*(1+Ventas!$AB$29)</f>
        <v>0</v>
      </c>
      <c r="S23" s="8">
        <f>R23*(1+Ventas!$AC$29)</f>
        <v>0</v>
      </c>
      <c r="T23" s="8">
        <f>S23*(1+Ventas!$AD$29)</f>
        <v>0</v>
      </c>
      <c r="U23" s="8">
        <f>T23*(1+Ventas!$AE$29)</f>
        <v>0</v>
      </c>
      <c r="V23" s="8">
        <f t="shared" si="30"/>
        <v>0</v>
      </c>
      <c r="W23" s="8">
        <f t="shared" si="31"/>
        <v>0</v>
      </c>
      <c r="X23" s="8">
        <f t="shared" si="24"/>
        <v>0</v>
      </c>
      <c r="Y23" s="8">
        <f t="shared" si="25"/>
        <v>0</v>
      </c>
      <c r="Z23" s="9"/>
    </row>
    <row r="24" spans="2:32" ht="14.65" thickBot="1" x14ac:dyDescent="0.5">
      <c r="B24" s="17">
        <f t="shared" si="21"/>
        <v>6</v>
      </c>
      <c r="C24" s="128" t="str">
        <f t="shared" si="29"/>
        <v xml:space="preserve"> </v>
      </c>
      <c r="D24" s="126">
        <f t="shared" si="22"/>
        <v>0</v>
      </c>
      <c r="E24" s="126">
        <v>0</v>
      </c>
      <c r="F24" s="127">
        <f t="shared" si="23"/>
        <v>0</v>
      </c>
      <c r="G24" s="18">
        <f t="shared" si="14"/>
        <v>0</v>
      </c>
      <c r="N24" s="8">
        <f t="shared" si="15"/>
        <v>0</v>
      </c>
      <c r="O24" s="8">
        <f t="shared" si="16"/>
        <v>0</v>
      </c>
      <c r="P24" s="8">
        <f t="shared" si="17"/>
        <v>0</v>
      </c>
      <c r="Q24" s="8">
        <f t="shared" si="18"/>
        <v>0</v>
      </c>
      <c r="R24" s="8">
        <f>E24*(1+Ventas!$AB$29)</f>
        <v>0</v>
      </c>
      <c r="S24" s="8">
        <f>R24*(1+Ventas!$AC$29)</f>
        <v>0</v>
      </c>
      <c r="T24" s="8">
        <f>S24*(1+Ventas!$AD$29)</f>
        <v>0</v>
      </c>
      <c r="U24" s="8">
        <f>T24*(1+Ventas!$AE$29)</f>
        <v>0</v>
      </c>
      <c r="V24" s="8">
        <f t="shared" si="30"/>
        <v>0</v>
      </c>
      <c r="W24" s="8">
        <f t="shared" si="31"/>
        <v>0</v>
      </c>
      <c r="X24" s="8">
        <f t="shared" si="24"/>
        <v>0</v>
      </c>
      <c r="Y24" s="8">
        <f t="shared" si="25"/>
        <v>0</v>
      </c>
      <c r="Z24" s="9"/>
    </row>
    <row r="25" spans="2:32" ht="17.649999999999999" thickBot="1" x14ac:dyDescent="0.5">
      <c r="B25" s="17">
        <f t="shared" si="21"/>
        <v>7</v>
      </c>
      <c r="C25" s="128" t="str">
        <f t="shared" si="29"/>
        <v xml:space="preserve"> </v>
      </c>
      <c r="D25" s="126">
        <f t="shared" si="22"/>
        <v>0</v>
      </c>
      <c r="E25" s="126">
        <v>0</v>
      </c>
      <c r="F25" s="127">
        <f t="shared" si="23"/>
        <v>0</v>
      </c>
      <c r="G25" s="18">
        <f t="shared" si="14"/>
        <v>0</v>
      </c>
      <c r="N25" s="8">
        <f t="shared" si="15"/>
        <v>0</v>
      </c>
      <c r="O25" s="8">
        <f t="shared" si="16"/>
        <v>0</v>
      </c>
      <c r="P25" s="8">
        <f t="shared" si="17"/>
        <v>0</v>
      </c>
      <c r="Q25" s="8">
        <f t="shared" si="18"/>
        <v>0</v>
      </c>
      <c r="R25" s="8">
        <f>E25*(1+Ventas!$AB$29)</f>
        <v>0</v>
      </c>
      <c r="S25" s="8">
        <f>R25*(1+Ventas!$AC$29)</f>
        <v>0</v>
      </c>
      <c r="T25" s="8">
        <f>S25*(1+Ventas!$AD$29)</f>
        <v>0</v>
      </c>
      <c r="U25" s="8">
        <f>T25*(1+Ventas!$AE$29)</f>
        <v>0</v>
      </c>
      <c r="V25" s="8">
        <f t="shared" si="30"/>
        <v>0</v>
      </c>
      <c r="W25" s="8">
        <f t="shared" si="31"/>
        <v>0</v>
      </c>
      <c r="X25" s="8">
        <f t="shared" si="24"/>
        <v>0</v>
      </c>
      <c r="Y25" s="8">
        <f t="shared" si="25"/>
        <v>0</v>
      </c>
      <c r="Z25" s="9"/>
      <c r="AA25" s="180" t="s">
        <v>53</v>
      </c>
      <c r="AB25" s="181"/>
      <c r="AC25" s="182"/>
      <c r="AD25" s="172">
        <v>0.35</v>
      </c>
    </row>
    <row r="26" spans="2:32" ht="14.65" thickBot="1" x14ac:dyDescent="0.5">
      <c r="B26" s="17">
        <f t="shared" si="21"/>
        <v>8</v>
      </c>
      <c r="C26" s="128" t="str">
        <f t="shared" si="29"/>
        <v xml:space="preserve"> </v>
      </c>
      <c r="D26" s="126">
        <f t="shared" si="22"/>
        <v>0</v>
      </c>
      <c r="E26" s="126">
        <v>0</v>
      </c>
      <c r="F26" s="127">
        <f t="shared" si="23"/>
        <v>0</v>
      </c>
      <c r="G26" s="18">
        <f t="shared" si="14"/>
        <v>0</v>
      </c>
      <c r="N26" s="8">
        <f t="shared" si="15"/>
        <v>0</v>
      </c>
      <c r="O26" s="8">
        <f t="shared" si="16"/>
        <v>0</v>
      </c>
      <c r="P26" s="8">
        <f t="shared" si="17"/>
        <v>0</v>
      </c>
      <c r="Q26" s="8">
        <f t="shared" si="18"/>
        <v>0</v>
      </c>
      <c r="R26" s="8">
        <f>E26*(1+Ventas!$AB$29)</f>
        <v>0</v>
      </c>
      <c r="S26" s="8">
        <f>R26*(1+Ventas!$AC$29)</f>
        <v>0</v>
      </c>
      <c r="T26" s="8">
        <f>S26*(1+Ventas!$AD$29)</f>
        <v>0</v>
      </c>
      <c r="U26" s="8">
        <f>T26*(1+Ventas!$AE$29)</f>
        <v>0</v>
      </c>
      <c r="V26" s="8">
        <f t="shared" si="30"/>
        <v>0</v>
      </c>
      <c r="W26" s="8">
        <f t="shared" si="31"/>
        <v>0</v>
      </c>
      <c r="X26" s="8">
        <f t="shared" si="24"/>
        <v>0</v>
      </c>
      <c r="Y26" s="8">
        <f t="shared" si="25"/>
        <v>0</v>
      </c>
      <c r="Z26" s="9"/>
    </row>
    <row r="27" spans="2:32" ht="22.5" thickBot="1" x14ac:dyDescent="0.6">
      <c r="B27" s="17">
        <f t="shared" si="21"/>
        <v>9</v>
      </c>
      <c r="C27" s="128" t="str">
        <f t="shared" si="29"/>
        <v xml:space="preserve"> </v>
      </c>
      <c r="D27" s="126">
        <f t="shared" si="22"/>
        <v>0</v>
      </c>
      <c r="E27" s="126">
        <v>0</v>
      </c>
      <c r="F27" s="127">
        <f t="shared" si="23"/>
        <v>0</v>
      </c>
      <c r="G27" s="18">
        <f t="shared" si="14"/>
        <v>0</v>
      </c>
      <c r="N27" s="8">
        <f t="shared" si="15"/>
        <v>0</v>
      </c>
      <c r="O27" s="8">
        <f t="shared" si="16"/>
        <v>0</v>
      </c>
      <c r="P27" s="8">
        <f t="shared" si="17"/>
        <v>0</v>
      </c>
      <c r="Q27" s="8">
        <f t="shared" si="18"/>
        <v>0</v>
      </c>
      <c r="R27" s="8">
        <f>E27*(1+Ventas!$AB$29)</f>
        <v>0</v>
      </c>
      <c r="S27" s="8">
        <f>R27*(1+Ventas!$AC$29)</f>
        <v>0</v>
      </c>
      <c r="T27" s="8">
        <f>S27*(1+Ventas!$AD$29)</f>
        <v>0</v>
      </c>
      <c r="U27" s="8">
        <f>T27*(1+Ventas!$AE$29)</f>
        <v>0</v>
      </c>
      <c r="V27" s="8">
        <f t="shared" si="30"/>
        <v>0</v>
      </c>
      <c r="W27" s="8">
        <f t="shared" si="31"/>
        <v>0</v>
      </c>
      <c r="X27" s="8">
        <f t="shared" si="24"/>
        <v>0</v>
      </c>
      <c r="Y27" s="8">
        <f t="shared" si="25"/>
        <v>0</v>
      </c>
      <c r="Z27" s="9"/>
      <c r="AA27" s="24" t="s">
        <v>6</v>
      </c>
      <c r="AB27" s="25">
        <f>AA4</f>
        <v>2024</v>
      </c>
      <c r="AC27" s="25">
        <f>AB27+1</f>
        <v>2025</v>
      </c>
      <c r="AD27" s="25">
        <f t="shared" ref="AD27:AE27" si="32">AC27+1</f>
        <v>2026</v>
      </c>
      <c r="AE27" s="26">
        <f t="shared" si="32"/>
        <v>2027</v>
      </c>
    </row>
    <row r="28" spans="2:32" ht="17.649999999999999" thickBot="1" x14ac:dyDescent="0.5">
      <c r="B28" s="17">
        <f>B14</f>
        <v>10</v>
      </c>
      <c r="C28" s="128" t="str">
        <f t="shared" si="29"/>
        <v xml:space="preserve"> </v>
      </c>
      <c r="D28" s="126">
        <f t="shared" si="22"/>
        <v>0</v>
      </c>
      <c r="E28" s="126">
        <v>0</v>
      </c>
      <c r="F28" s="127">
        <f t="shared" si="23"/>
        <v>0</v>
      </c>
      <c r="G28" s="18">
        <f t="shared" si="14"/>
        <v>0</v>
      </c>
      <c r="N28" s="8">
        <f t="shared" si="15"/>
        <v>0</v>
      </c>
      <c r="O28" s="8">
        <f t="shared" si="16"/>
        <v>0</v>
      </c>
      <c r="P28" s="8">
        <f t="shared" si="17"/>
        <v>0</v>
      </c>
      <c r="Q28" s="8">
        <f t="shared" si="18"/>
        <v>0</v>
      </c>
      <c r="R28" s="8">
        <f>E28*(1+Ventas!$AB$29)</f>
        <v>0</v>
      </c>
      <c r="S28" s="8">
        <f>R28*(1+Ventas!$AC$29)</f>
        <v>0</v>
      </c>
      <c r="T28" s="8">
        <f>S28*(1+Ventas!$AD$29)</f>
        <v>0</v>
      </c>
      <c r="U28" s="8">
        <f>T28*(1+Ventas!$AE$29)</f>
        <v>0</v>
      </c>
      <c r="V28" s="8">
        <f t="shared" si="30"/>
        <v>0</v>
      </c>
      <c r="W28" s="8">
        <f t="shared" si="31"/>
        <v>0</v>
      </c>
      <c r="X28" s="8">
        <f t="shared" si="24"/>
        <v>0</v>
      </c>
      <c r="Y28" s="8">
        <f t="shared" si="25"/>
        <v>0</v>
      </c>
      <c r="Z28" s="9"/>
      <c r="AA28" s="27" t="s">
        <v>9</v>
      </c>
      <c r="AB28" s="38">
        <v>2.7E-2</v>
      </c>
      <c r="AC28" s="38">
        <v>0.03</v>
      </c>
      <c r="AD28" s="38">
        <v>2.8000000000000001E-2</v>
      </c>
      <c r="AE28" s="38">
        <v>3.1E-2</v>
      </c>
    </row>
    <row r="29" spans="2:32" ht="17.649999999999999" thickBot="1" x14ac:dyDescent="0.5">
      <c r="B29" s="19"/>
      <c r="C29" s="20"/>
      <c r="D29" s="20"/>
      <c r="E29" s="20" t="str">
        <f>E15</f>
        <v>TOTAL</v>
      </c>
      <c r="F29" s="20">
        <f>SUM(F19:F28)</f>
        <v>0</v>
      </c>
      <c r="G29" s="21">
        <f>SUM(G19:G28)</f>
        <v>0</v>
      </c>
      <c r="N29" s="8"/>
      <c r="O29" s="8"/>
      <c r="P29" s="8"/>
      <c r="Q29" s="8"/>
      <c r="R29" s="8"/>
      <c r="S29" s="8"/>
      <c r="T29" s="8"/>
      <c r="U29" s="8"/>
      <c r="V29" s="10">
        <f>SUM(V19:V28)</f>
        <v>0</v>
      </c>
      <c r="W29" s="10">
        <f>SUM(W19:W28)</f>
        <v>0</v>
      </c>
      <c r="X29" s="10">
        <f t="shared" ref="X29:Y29" si="33">SUM(X19:X28)</f>
        <v>0</v>
      </c>
      <c r="Y29" s="10">
        <f t="shared" si="33"/>
        <v>0</v>
      </c>
      <c r="Z29" s="9"/>
      <c r="AA29" s="28" t="s">
        <v>10</v>
      </c>
      <c r="AB29" s="38">
        <v>3.5000000000000003E-2</v>
      </c>
      <c r="AC29" s="38">
        <v>3.6999999999999998E-2</v>
      </c>
      <c r="AD29" s="38">
        <v>3.1E-2</v>
      </c>
      <c r="AE29" s="38">
        <v>3.3000000000000002E-2</v>
      </c>
    </row>
    <row r="32" spans="2:32" x14ac:dyDescent="0.45">
      <c r="B32" s="186"/>
      <c r="C32" s="186"/>
      <c r="D32" s="186"/>
      <c r="E32" s="186"/>
      <c r="F32" s="186"/>
      <c r="G32" s="186"/>
      <c r="H32" s="186"/>
    </row>
    <row r="33" spans="10:24" ht="24.75" x14ac:dyDescent="0.65"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</sheetData>
  <sheetProtection algorithmName="SHA-512" hashValue="9taKPxJpOujDOES3/BDaBfVvX+X/4FsX9rBKMQ7DYyOSxqGODHy59whNn3t6igcwcmxObT/FvJ4YMF119ZnIIg==" saltValue="kCt1gwb1TiB0Kkmt/yCOdw==" spinCount="100000" sheet="1" formatCells="0" formatColumns="0" formatRows="0"/>
  <mergeCells count="6">
    <mergeCell ref="AA17:AF17"/>
    <mergeCell ref="AA3:AD3"/>
    <mergeCell ref="AA25:AC25"/>
    <mergeCell ref="B32:H32"/>
    <mergeCell ref="B3:G3"/>
    <mergeCell ref="B17:G17"/>
  </mergeCells>
  <conditionalFormatting sqref="AB21:AF21">
    <cfRule type="cellIs" dxfId="11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B1:G28"/>
  <sheetViews>
    <sheetView showGridLines="0" workbookViewId="0">
      <selection activeCell="C23" sqref="C23"/>
    </sheetView>
  </sheetViews>
  <sheetFormatPr baseColWidth="10" defaultColWidth="11.46484375" defaultRowHeight="14.25" x14ac:dyDescent="0.45"/>
  <cols>
    <col min="1" max="1" width="5.46484375" style="5" customWidth="1"/>
    <col min="2" max="2" width="31.53125" style="5" customWidth="1"/>
    <col min="3" max="3" width="20.86328125" style="5" customWidth="1"/>
    <col min="4" max="4" width="5.796875" style="5" customWidth="1"/>
    <col min="5" max="5" width="32.19921875" style="5" customWidth="1"/>
    <col min="6" max="6" width="17.6640625" style="5" bestFit="1" customWidth="1"/>
    <col min="7" max="7" width="1.86328125" style="5" customWidth="1"/>
    <col min="8" max="16384" width="11.46484375" style="5"/>
  </cols>
  <sheetData>
    <row r="1" spans="2:7" ht="14.65" thickBot="1" x14ac:dyDescent="0.5"/>
    <row r="2" spans="2:7" ht="15.4" customHeight="1" x14ac:dyDescent="0.45">
      <c r="B2" s="190" t="s">
        <v>104</v>
      </c>
      <c r="C2" s="191"/>
      <c r="D2" s="191"/>
      <c r="E2" s="191"/>
      <c r="F2" s="191"/>
      <c r="G2" s="192"/>
    </row>
    <row r="3" spans="2:7" ht="12" customHeight="1" thickBot="1" x14ac:dyDescent="0.5">
      <c r="B3" s="193"/>
      <c r="C3" s="194"/>
      <c r="D3" s="194"/>
      <c r="E3" s="194"/>
      <c r="F3" s="194"/>
      <c r="G3" s="195"/>
    </row>
    <row r="4" spans="2:7" ht="15.75" thickBot="1" x14ac:dyDescent="0.5">
      <c r="B4" s="66" t="s">
        <v>127</v>
      </c>
      <c r="C4" s="32" t="s">
        <v>148</v>
      </c>
      <c r="D4" s="51"/>
      <c r="E4" s="51"/>
      <c r="F4" s="51"/>
      <c r="G4" s="51"/>
    </row>
    <row r="5" spans="2:7" ht="15.4" x14ac:dyDescent="0.45">
      <c r="B5" s="60" t="s">
        <v>105</v>
      </c>
      <c r="C5" s="61"/>
      <c r="D5" s="51"/>
      <c r="E5" s="51"/>
      <c r="F5" s="51"/>
      <c r="G5" s="51"/>
    </row>
    <row r="6" spans="2:7" ht="15.4" x14ac:dyDescent="0.45">
      <c r="B6" s="62" t="s">
        <v>106</v>
      </c>
      <c r="C6" s="63"/>
      <c r="D6" s="51"/>
      <c r="E6" s="51"/>
      <c r="F6" s="51"/>
      <c r="G6" s="51"/>
    </row>
    <row r="7" spans="2:7" ht="15.75" thickBot="1" x14ac:dyDescent="0.5">
      <c r="B7" s="62" t="s">
        <v>107</v>
      </c>
      <c r="C7" s="63"/>
      <c r="D7" s="51"/>
      <c r="E7" s="51"/>
      <c r="F7" s="51"/>
      <c r="G7" s="51"/>
    </row>
    <row r="8" spans="2:7" ht="15.75" thickBot="1" x14ac:dyDescent="0.5">
      <c r="B8" s="62" t="s">
        <v>108</v>
      </c>
      <c r="C8" s="63"/>
      <c r="D8" s="51"/>
      <c r="E8" s="180" t="s">
        <v>126</v>
      </c>
      <c r="F8" s="182"/>
      <c r="G8" s="51"/>
    </row>
    <row r="9" spans="2:7" ht="15.4" x14ac:dyDescent="0.45">
      <c r="B9" s="62" t="s">
        <v>109</v>
      </c>
      <c r="C9" s="63"/>
      <c r="D9" s="51"/>
      <c r="E9" s="70" t="s">
        <v>113</v>
      </c>
      <c r="F9" s="72" t="str">
        <f>C4</f>
        <v>Año Inicial</v>
      </c>
      <c r="G9" s="51"/>
    </row>
    <row r="10" spans="2:7" ht="15.4" x14ac:dyDescent="0.45">
      <c r="B10" s="62" t="s">
        <v>110</v>
      </c>
      <c r="C10" s="63"/>
      <c r="D10" s="51"/>
      <c r="E10" s="71" t="s">
        <v>129</v>
      </c>
      <c r="F10" s="67">
        <v>0</v>
      </c>
      <c r="G10" s="51"/>
    </row>
    <row r="11" spans="2:7" ht="15.75" thickBot="1" x14ac:dyDescent="0.5">
      <c r="B11" s="62" t="s">
        <v>111</v>
      </c>
      <c r="C11" s="63"/>
      <c r="D11" s="55"/>
      <c r="E11" s="71" t="s">
        <v>130</v>
      </c>
      <c r="F11" s="67">
        <v>0</v>
      </c>
      <c r="G11" s="51"/>
    </row>
    <row r="12" spans="2:7" ht="15.75" thickBot="1" x14ac:dyDescent="0.5">
      <c r="B12" s="64" t="s">
        <v>112</v>
      </c>
      <c r="C12" s="65">
        <f>SUM(C5:C11)</f>
        <v>0</v>
      </c>
      <c r="D12" s="51"/>
      <c r="E12" s="71" t="s">
        <v>131</v>
      </c>
      <c r="F12" s="67">
        <v>0</v>
      </c>
      <c r="G12" s="51"/>
    </row>
    <row r="13" spans="2:7" ht="15.75" thickBot="1" x14ac:dyDescent="0.5">
      <c r="B13" s="54" t="s">
        <v>113</v>
      </c>
      <c r="C13" s="55"/>
      <c r="D13" s="51"/>
      <c r="E13" s="71" t="s">
        <v>132</v>
      </c>
      <c r="F13" s="67">
        <v>0</v>
      </c>
      <c r="G13" s="51"/>
    </row>
    <row r="14" spans="2:7" ht="15.75" thickBot="1" x14ac:dyDescent="0.5">
      <c r="B14" s="196" t="s">
        <v>125</v>
      </c>
      <c r="C14" s="197"/>
      <c r="D14" s="51"/>
      <c r="E14" s="71" t="s">
        <v>151</v>
      </c>
      <c r="F14" s="67">
        <v>0</v>
      </c>
      <c r="G14" s="51"/>
    </row>
    <row r="15" spans="2:7" ht="15.4" x14ac:dyDescent="0.45">
      <c r="B15" s="66" t="s">
        <v>114</v>
      </c>
      <c r="C15" s="67">
        <v>0</v>
      </c>
      <c r="D15" s="51"/>
      <c r="E15" s="71" t="s">
        <v>152</v>
      </c>
      <c r="F15" s="67">
        <v>0</v>
      </c>
      <c r="G15" s="51"/>
    </row>
    <row r="16" spans="2:7" ht="15.4" x14ac:dyDescent="0.45">
      <c r="B16" s="66" t="s">
        <v>115</v>
      </c>
      <c r="C16" s="67">
        <v>0</v>
      </c>
      <c r="D16" s="51"/>
      <c r="E16" s="71"/>
      <c r="F16" s="67">
        <v>0</v>
      </c>
      <c r="G16" s="51"/>
    </row>
    <row r="17" spans="2:7" ht="15.75" thickBot="1" x14ac:dyDescent="0.5">
      <c r="B17" s="66" t="s">
        <v>116</v>
      </c>
      <c r="C17" s="68">
        <v>0</v>
      </c>
      <c r="D17" s="51"/>
      <c r="E17" s="71"/>
      <c r="F17" s="67">
        <v>0</v>
      </c>
      <c r="G17" s="51"/>
    </row>
    <row r="18" spans="2:7" ht="15.75" thickBot="1" x14ac:dyDescent="0.5">
      <c r="B18" s="64" t="s">
        <v>117</v>
      </c>
      <c r="C18" s="65">
        <f>C15+C16+C17</f>
        <v>0</v>
      </c>
      <c r="D18" s="51"/>
      <c r="E18" s="71"/>
      <c r="F18" s="67">
        <v>0</v>
      </c>
      <c r="G18" s="51"/>
    </row>
    <row r="19" spans="2:7" ht="16.149999999999999" thickBot="1" x14ac:dyDescent="0.55000000000000004">
      <c r="B19" s="57" t="s">
        <v>113</v>
      </c>
      <c r="C19" s="51"/>
      <c r="D19" s="51"/>
      <c r="E19" s="71"/>
      <c r="F19" s="67">
        <v>0</v>
      </c>
      <c r="G19" s="51"/>
    </row>
    <row r="20" spans="2:7" ht="15.75" thickBot="1" x14ac:dyDescent="0.5">
      <c r="B20" s="74" t="s">
        <v>118</v>
      </c>
      <c r="C20" s="73">
        <v>0</v>
      </c>
      <c r="D20" s="51"/>
      <c r="E20" s="71" t="s">
        <v>113</v>
      </c>
      <c r="F20" s="67">
        <v>0</v>
      </c>
      <c r="G20" s="51"/>
    </row>
    <row r="21" spans="2:7" ht="16.149999999999999" thickBot="1" x14ac:dyDescent="0.55000000000000004">
      <c r="B21" s="57" t="s">
        <v>113</v>
      </c>
      <c r="C21" s="51"/>
      <c r="D21" s="51"/>
      <c r="E21" s="71" t="s">
        <v>113</v>
      </c>
      <c r="F21" s="67">
        <v>0</v>
      </c>
      <c r="G21" s="51"/>
    </row>
    <row r="22" spans="2:7" ht="15.75" thickBot="1" x14ac:dyDescent="0.5">
      <c r="B22" s="198" t="s">
        <v>119</v>
      </c>
      <c r="C22" s="199"/>
      <c r="D22" s="51"/>
      <c r="E22" s="71" t="s">
        <v>113</v>
      </c>
      <c r="F22" s="67">
        <v>0</v>
      </c>
      <c r="G22" s="51"/>
    </row>
    <row r="23" spans="2:7" ht="15.75" thickBot="1" x14ac:dyDescent="0.5">
      <c r="B23" s="69" t="s">
        <v>120</v>
      </c>
      <c r="C23" s="75"/>
      <c r="D23" s="51"/>
      <c r="E23" s="29" t="s">
        <v>124</v>
      </c>
      <c r="F23" s="65">
        <f>SUM(F10:F22)</f>
        <v>0</v>
      </c>
      <c r="G23" s="51"/>
    </row>
    <row r="24" spans="2:7" ht="15.4" x14ac:dyDescent="0.45">
      <c r="B24" s="76" t="s">
        <v>121</v>
      </c>
      <c r="C24" s="67"/>
      <c r="D24" s="51"/>
      <c r="E24" s="51"/>
      <c r="F24" s="51"/>
      <c r="G24" s="51"/>
    </row>
    <row r="25" spans="2:7" ht="15.4" x14ac:dyDescent="0.45">
      <c r="B25" s="76" t="s">
        <v>122</v>
      </c>
      <c r="C25" s="67"/>
      <c r="D25" s="51"/>
      <c r="E25" s="51"/>
      <c r="F25" s="51"/>
      <c r="G25" s="51"/>
    </row>
    <row r="26" spans="2:7" ht="15.75" thickBot="1" x14ac:dyDescent="0.5">
      <c r="B26" s="77" t="s">
        <v>123</v>
      </c>
      <c r="C26" s="68"/>
      <c r="D26" s="51"/>
      <c r="E26" s="51"/>
      <c r="F26" s="51"/>
      <c r="G26" s="51"/>
    </row>
    <row r="27" spans="2:7" x14ac:dyDescent="0.45">
      <c r="B27" s="51"/>
      <c r="C27" s="51"/>
      <c r="D27" s="51"/>
      <c r="E27" s="51"/>
      <c r="F27" s="51"/>
      <c r="G27" s="51" t="str">
        <f>+PROPER(E27)</f>
        <v/>
      </c>
    </row>
    <row r="28" spans="2:7" x14ac:dyDescent="0.45">
      <c r="B28" s="51"/>
      <c r="C28" s="51"/>
      <c r="D28" s="51"/>
      <c r="E28" s="51"/>
      <c r="F28" s="51"/>
      <c r="G28" s="51" t="str">
        <f>+PROPER(E28)</f>
        <v/>
      </c>
    </row>
  </sheetData>
  <sheetProtection password="8F5C" formatCells="0" formatColumns="0" formatRows="0"/>
  <mergeCells count="4">
    <mergeCell ref="B2:G3"/>
    <mergeCell ref="B14:C14"/>
    <mergeCell ref="B22:C22"/>
    <mergeCell ref="E8:F8"/>
  </mergeCell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2:M17"/>
  <sheetViews>
    <sheetView showGridLines="0" workbookViewId="0">
      <selection activeCell="J11" sqref="J11"/>
    </sheetView>
  </sheetViews>
  <sheetFormatPr baseColWidth="10" defaultColWidth="11.46484375" defaultRowHeight="14.25" x14ac:dyDescent="0.45"/>
  <cols>
    <col min="1" max="1" width="5.265625" style="5" customWidth="1"/>
    <col min="2" max="2" width="2.3984375" style="5" customWidth="1"/>
    <col min="3" max="3" width="24.265625" style="5" bestFit="1" customWidth="1"/>
    <col min="4" max="4" width="14.86328125" style="5" customWidth="1"/>
    <col min="5" max="5" width="16.19921875" style="5" bestFit="1" customWidth="1"/>
    <col min="6" max="6" width="12.86328125" style="5" customWidth="1"/>
    <col min="7" max="7" width="15.53125" style="5" bestFit="1" customWidth="1"/>
    <col min="8" max="9" width="15.1328125" style="5" bestFit="1" customWidth="1"/>
    <col min="10" max="10" width="19.9296875" style="5" customWidth="1"/>
    <col min="11" max="11" width="15.6640625" style="5" customWidth="1"/>
    <col min="12" max="12" width="1.73046875" style="5" customWidth="1"/>
    <col min="13" max="16384" width="11.46484375" style="5"/>
  </cols>
  <sheetData>
    <row r="2" spans="2:13" ht="29.25" customHeight="1" x14ac:dyDescent="0.45">
      <c r="B2" s="201" t="s">
        <v>74</v>
      </c>
      <c r="C2" s="201"/>
      <c r="D2" s="201"/>
      <c r="E2" s="201"/>
      <c r="F2" s="201"/>
      <c r="G2" s="201"/>
      <c r="H2" s="201"/>
      <c r="I2" s="201"/>
      <c r="J2" s="201"/>
      <c r="K2" s="201"/>
      <c r="L2" s="201"/>
    </row>
    <row r="3" spans="2:13" ht="14.65" thickBot="1" x14ac:dyDescent="0.5">
      <c r="B3" s="51"/>
      <c r="C3" s="51"/>
      <c r="D3" s="51"/>
      <c r="E3" s="51"/>
      <c r="F3" s="51"/>
      <c r="G3" s="78" t="s">
        <v>30</v>
      </c>
      <c r="H3" s="78"/>
      <c r="I3" s="51"/>
      <c r="J3" s="51"/>
      <c r="K3" s="51"/>
      <c r="L3" s="51"/>
    </row>
    <row r="4" spans="2:13" ht="15.75" thickBot="1" x14ac:dyDescent="0.5">
      <c r="B4" s="51"/>
      <c r="C4" s="31" t="s">
        <v>22</v>
      </c>
      <c r="D4" s="93">
        <f>Gastos!C12</f>
        <v>0</v>
      </c>
      <c r="E4" s="51"/>
      <c r="F4" s="51"/>
      <c r="G4" s="200">
        <v>0.21560000000000001</v>
      </c>
      <c r="H4" s="200"/>
      <c r="I4" s="51"/>
      <c r="J4" s="78" t="s">
        <v>93</v>
      </c>
      <c r="K4" s="83">
        <v>5</v>
      </c>
      <c r="L4" s="51"/>
      <c r="M4" s="49"/>
    </row>
    <row r="5" spans="2:13" ht="14.65" thickBot="1" x14ac:dyDescent="0.5"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49"/>
    </row>
    <row r="6" spans="2:13" ht="14.65" thickBot="1" x14ac:dyDescent="0.5">
      <c r="B6" s="51"/>
      <c r="C6" s="180" t="s">
        <v>133</v>
      </c>
      <c r="D6" s="181"/>
      <c r="E6" s="182"/>
      <c r="F6" s="180" t="s">
        <v>75</v>
      </c>
      <c r="G6" s="181"/>
      <c r="H6" s="181"/>
      <c r="I6" s="181"/>
      <c r="J6" s="181"/>
      <c r="K6" s="182"/>
      <c r="L6" s="51"/>
      <c r="M6" s="49"/>
    </row>
    <row r="7" spans="2:13" ht="14.65" thickBot="1" x14ac:dyDescent="0.5">
      <c r="B7" s="51"/>
      <c r="C7" s="96" t="s">
        <v>139</v>
      </c>
      <c r="D7" s="87" t="s">
        <v>24</v>
      </c>
      <c r="E7" s="89" t="s">
        <v>25</v>
      </c>
      <c r="F7" s="80"/>
      <c r="G7" s="89" t="s">
        <v>134</v>
      </c>
      <c r="H7" s="89" t="s">
        <v>135</v>
      </c>
      <c r="I7" s="89" t="s">
        <v>136</v>
      </c>
      <c r="J7" s="89" t="s">
        <v>137</v>
      </c>
      <c r="K7" s="88" t="s">
        <v>138</v>
      </c>
      <c r="L7" s="51"/>
      <c r="M7" s="49"/>
    </row>
    <row r="8" spans="2:13" x14ac:dyDescent="0.45">
      <c r="B8" s="51"/>
      <c r="C8" s="92" t="s">
        <v>23</v>
      </c>
      <c r="D8" s="83"/>
      <c r="E8" s="169">
        <f>(Ventas!AB20/12)*D8</f>
        <v>0</v>
      </c>
      <c r="F8" s="85" t="s">
        <v>148</v>
      </c>
      <c r="G8" s="90"/>
      <c r="H8" s="90"/>
      <c r="I8" s="90"/>
      <c r="J8" s="90"/>
      <c r="K8" s="81">
        <f>E16</f>
        <v>0</v>
      </c>
      <c r="L8" s="51"/>
      <c r="M8" s="49"/>
    </row>
    <row r="9" spans="2:13" x14ac:dyDescent="0.45">
      <c r="B9" s="51"/>
      <c r="C9" s="56" t="s">
        <v>26</v>
      </c>
      <c r="D9" s="83"/>
      <c r="E9" s="95">
        <f>(Gastos!C18/12)*D9</f>
        <v>0</v>
      </c>
      <c r="F9" s="85">
        <f>Ventas!AB18</f>
        <v>2023</v>
      </c>
      <c r="G9" s="90">
        <f t="shared" ref="G9:G13" si="0">IF(K8&gt;0,K8,0)</f>
        <v>0</v>
      </c>
      <c r="H9" s="90">
        <f>G9*$G$4</f>
        <v>0</v>
      </c>
      <c r="I9" s="90">
        <f>IF(K8&lt;1,0,(J9-H9))</f>
        <v>0</v>
      </c>
      <c r="J9" s="90">
        <f>PMT(G4,K4,K8)*-1</f>
        <v>0</v>
      </c>
      <c r="K9" s="81">
        <f>G9-I9</f>
        <v>0</v>
      </c>
      <c r="L9" s="51"/>
    </row>
    <row r="10" spans="2:13" x14ac:dyDescent="0.45">
      <c r="B10" s="51"/>
      <c r="C10" s="56" t="s">
        <v>150</v>
      </c>
      <c r="D10" s="83"/>
      <c r="E10" s="94">
        <f>(Gastos!C20/12)*D10</f>
        <v>0</v>
      </c>
      <c r="F10" s="85">
        <f>Ventas!AC18</f>
        <v>2024</v>
      </c>
      <c r="G10" s="90">
        <f t="shared" si="0"/>
        <v>0</v>
      </c>
      <c r="H10" s="90">
        <f t="shared" ref="H10:H13" si="1">G10*$G$4</f>
        <v>0</v>
      </c>
      <c r="I10" s="90">
        <f t="shared" ref="I10:I13" si="2">IF(K9&lt;1,0,(J10-H10))</f>
        <v>0</v>
      </c>
      <c r="J10" s="90">
        <f>IF(K9&lt;1,0,(J9*(1+$L$7)))</f>
        <v>0</v>
      </c>
      <c r="K10" s="81">
        <f t="shared" ref="K10:K13" si="3">G10-I10</f>
        <v>0</v>
      </c>
      <c r="L10" s="51"/>
    </row>
    <row r="11" spans="2:13" x14ac:dyDescent="0.45">
      <c r="B11" s="51"/>
      <c r="C11" s="56" t="s">
        <v>21</v>
      </c>
      <c r="D11" s="83"/>
      <c r="E11" s="94">
        <f>(Gastos!F23/12)*D11</f>
        <v>0</v>
      </c>
      <c r="F11" s="85">
        <f>Ventas!AD18</f>
        <v>2025</v>
      </c>
      <c r="G11" s="90">
        <f t="shared" si="0"/>
        <v>0</v>
      </c>
      <c r="H11" s="90">
        <f t="shared" si="1"/>
        <v>0</v>
      </c>
      <c r="I11" s="90">
        <f t="shared" si="2"/>
        <v>0</v>
      </c>
      <c r="J11" s="90">
        <f t="shared" ref="J11:J13" si="4">IF(K10&lt;1,0,(J10*(1+$L$7)))</f>
        <v>0</v>
      </c>
      <c r="K11" s="81">
        <f t="shared" si="3"/>
        <v>0</v>
      </c>
      <c r="L11" s="51"/>
    </row>
    <row r="12" spans="2:13" ht="14.65" thickBot="1" x14ac:dyDescent="0.5">
      <c r="B12" s="51"/>
      <c r="C12" s="51"/>
      <c r="D12" s="171"/>
      <c r="E12" s="170"/>
      <c r="F12" s="85">
        <f>Ventas!AE18</f>
        <v>2026</v>
      </c>
      <c r="G12" s="90">
        <f t="shared" si="0"/>
        <v>0</v>
      </c>
      <c r="H12" s="90">
        <f t="shared" si="1"/>
        <v>0</v>
      </c>
      <c r="I12" s="90">
        <f t="shared" si="2"/>
        <v>0</v>
      </c>
      <c r="J12" s="90">
        <f t="shared" si="4"/>
        <v>0</v>
      </c>
      <c r="K12" s="81">
        <f t="shared" si="3"/>
        <v>0</v>
      </c>
      <c r="L12" s="51"/>
    </row>
    <row r="13" spans="2:13" ht="15.75" thickBot="1" x14ac:dyDescent="0.5">
      <c r="B13" s="51"/>
      <c r="C13" s="47" t="s">
        <v>4</v>
      </c>
      <c r="D13" s="30"/>
      <c r="E13" s="93">
        <f>SUM(E8:E11)</f>
        <v>0</v>
      </c>
      <c r="F13" s="86">
        <f>Ventas!AF18</f>
        <v>2027</v>
      </c>
      <c r="G13" s="91">
        <f t="shared" si="0"/>
        <v>0</v>
      </c>
      <c r="H13" s="91">
        <f t="shared" si="1"/>
        <v>0</v>
      </c>
      <c r="I13" s="91">
        <f t="shared" si="2"/>
        <v>0</v>
      </c>
      <c r="J13" s="91">
        <f t="shared" si="4"/>
        <v>0</v>
      </c>
      <c r="K13" s="82">
        <f t="shared" si="3"/>
        <v>0</v>
      </c>
      <c r="L13" s="51"/>
    </row>
    <row r="14" spans="2:13" ht="17.649999999999999" customHeight="1" x14ac:dyDescent="0.45">
      <c r="B14" s="51"/>
      <c r="C14" s="56" t="s">
        <v>27</v>
      </c>
      <c r="D14" s="51"/>
      <c r="E14" s="79">
        <f>D4+E13</f>
        <v>0</v>
      </c>
      <c r="F14" s="51"/>
      <c r="G14" s="51"/>
      <c r="H14" s="51"/>
      <c r="I14" s="51"/>
      <c r="J14" s="51"/>
      <c r="K14" s="51"/>
      <c r="L14" s="51"/>
    </row>
    <row r="15" spans="2:13" ht="27.75" x14ac:dyDescent="0.45">
      <c r="B15" s="51"/>
      <c r="C15" s="92" t="s">
        <v>28</v>
      </c>
      <c r="D15" s="51"/>
      <c r="E15" s="97"/>
      <c r="F15" s="51"/>
      <c r="G15" s="51"/>
      <c r="H15" s="51"/>
      <c r="I15" s="51"/>
      <c r="J15" s="51"/>
      <c r="K15" s="51"/>
      <c r="L15" s="51"/>
    </row>
    <row r="16" spans="2:13" ht="27.75" x14ac:dyDescent="0.45">
      <c r="B16" s="51"/>
      <c r="C16" s="92" t="s">
        <v>29</v>
      </c>
      <c r="D16" s="51"/>
      <c r="E16" s="84">
        <f>E14-E15</f>
        <v>0</v>
      </c>
      <c r="F16" s="51"/>
      <c r="G16" s="51"/>
      <c r="H16" s="51"/>
      <c r="I16" s="51"/>
      <c r="J16" s="51"/>
      <c r="K16" s="51"/>
      <c r="L16" s="51"/>
    </row>
    <row r="17" spans="2:12" x14ac:dyDescent="0.45"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</row>
  </sheetData>
  <sheetProtection algorithmName="SHA-512" hashValue="D6mQ/5PsBXV+pBo33W+ontpxG/lP67qHAOU12zrje15Zc0yyfxecCLzC/UJH4lo/rWwxJPPmzZBWY2RctB3YMA==" saltValue="rOIpPTaRTxTCkI5FLgE4Ng==" spinCount="100000" sheet="1" formatCells="0" formatColumns="0" formatRows="0"/>
  <mergeCells count="4">
    <mergeCell ref="G4:H4"/>
    <mergeCell ref="F6:K6"/>
    <mergeCell ref="C6:E6"/>
    <mergeCell ref="B2:L2"/>
  </mergeCells>
  <dataValidations count="1">
    <dataValidation type="list" allowBlank="1" showInputMessage="1" showErrorMessage="1" sqref="M4" xr:uid="{00000000-0002-0000-0300-000000000000}">
      <formula1>$M$4:$M$8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1:I62"/>
  <sheetViews>
    <sheetView showGridLines="0" topLeftCell="A41" zoomScale="90" zoomScaleNormal="90" workbookViewId="0">
      <selection activeCell="E11" sqref="E11"/>
    </sheetView>
  </sheetViews>
  <sheetFormatPr baseColWidth="10" defaultColWidth="11.46484375" defaultRowHeight="14.25" x14ac:dyDescent="0.45"/>
  <cols>
    <col min="1" max="1" width="9.6640625" style="5" customWidth="1"/>
    <col min="2" max="2" width="29.73046875" style="5" bestFit="1" customWidth="1"/>
    <col min="3" max="3" width="31.6640625" style="5" customWidth="1"/>
    <col min="4" max="4" width="19.6640625" style="5" customWidth="1"/>
    <col min="5" max="5" width="17.265625" style="5" bestFit="1" customWidth="1"/>
    <col min="6" max="8" width="18.46484375" style="5" bestFit="1" customWidth="1"/>
    <col min="9" max="9" width="4.6640625" style="5" customWidth="1"/>
    <col min="10" max="16384" width="11.46484375" style="5"/>
  </cols>
  <sheetData>
    <row r="1" spans="2:9" ht="34.5" customHeight="1" x14ac:dyDescent="0.45">
      <c r="B1" s="203" t="s">
        <v>76</v>
      </c>
      <c r="C1" s="203"/>
      <c r="D1" s="203"/>
      <c r="E1" s="203"/>
      <c r="F1" s="203"/>
      <c r="G1" s="203"/>
      <c r="H1" s="203"/>
      <c r="I1" s="203"/>
    </row>
    <row r="2" spans="2:9" ht="22.9" customHeight="1" x14ac:dyDescent="0.45">
      <c r="B2" s="203"/>
      <c r="C2" s="203"/>
      <c r="D2" s="203"/>
      <c r="E2" s="203"/>
      <c r="F2" s="203"/>
      <c r="G2" s="203"/>
      <c r="H2" s="203"/>
      <c r="I2" s="203"/>
    </row>
    <row r="3" spans="2:9" ht="19.899999999999999" x14ac:dyDescent="0.45">
      <c r="B3" s="204" t="s">
        <v>51</v>
      </c>
      <c r="C3" s="204"/>
      <c r="D3" s="204"/>
      <c r="E3" s="204"/>
      <c r="F3" s="204"/>
      <c r="G3" s="204"/>
      <c r="H3" s="204"/>
      <c r="I3" s="204"/>
    </row>
    <row r="4" spans="2:9" ht="15" x14ac:dyDescent="0.45">
      <c r="B4" s="51"/>
      <c r="C4" s="78"/>
      <c r="D4" s="100">
        <f>Ventas!AB18</f>
        <v>2023</v>
      </c>
      <c r="E4" s="100">
        <f>Ventas!AC18</f>
        <v>2024</v>
      </c>
      <c r="F4" s="100">
        <f>Ventas!AD18</f>
        <v>2025</v>
      </c>
      <c r="G4" s="100">
        <f>Ventas!AE18</f>
        <v>2026</v>
      </c>
      <c r="H4" s="100">
        <f>Ventas!AF18</f>
        <v>2027</v>
      </c>
      <c r="I4" s="51"/>
    </row>
    <row r="5" spans="2:9" x14ac:dyDescent="0.45">
      <c r="B5" s="51"/>
      <c r="C5" s="103" t="s">
        <v>20</v>
      </c>
      <c r="D5" s="101">
        <f>Ventas!AB19</f>
        <v>0</v>
      </c>
      <c r="E5" s="101">
        <f>Ventas!AC19</f>
        <v>0</v>
      </c>
      <c r="F5" s="101">
        <f>Ventas!AD19</f>
        <v>0</v>
      </c>
      <c r="G5" s="101">
        <f>Ventas!AE19</f>
        <v>0</v>
      </c>
      <c r="H5" s="101">
        <f>Ventas!AF19</f>
        <v>0</v>
      </c>
      <c r="I5" s="51"/>
    </row>
    <row r="6" spans="2:9" x14ac:dyDescent="0.45">
      <c r="B6" s="51"/>
      <c r="C6" s="103" t="s">
        <v>33</v>
      </c>
      <c r="D6" s="101">
        <f>Ventas!AB20</f>
        <v>0</v>
      </c>
      <c r="E6" s="101">
        <f>Ventas!AC20</f>
        <v>0</v>
      </c>
      <c r="F6" s="101">
        <f>Ventas!AD20</f>
        <v>0</v>
      </c>
      <c r="G6" s="101">
        <f>Ventas!AE20</f>
        <v>0</v>
      </c>
      <c r="H6" s="101">
        <f>Ventas!AF20</f>
        <v>0</v>
      </c>
      <c r="I6" s="51"/>
    </row>
    <row r="7" spans="2:9" ht="14.65" thickBot="1" x14ac:dyDescent="0.5">
      <c r="B7" s="51"/>
      <c r="C7" s="106" t="s">
        <v>34</v>
      </c>
      <c r="D7" s="107">
        <f>D5-D6</f>
        <v>0</v>
      </c>
      <c r="E7" s="107">
        <f t="shared" ref="E7:H7" si="0">E5-E6</f>
        <v>0</v>
      </c>
      <c r="F7" s="107">
        <f t="shared" si="0"/>
        <v>0</v>
      </c>
      <c r="G7" s="107">
        <f t="shared" si="0"/>
        <v>0</v>
      </c>
      <c r="H7" s="107">
        <f t="shared" si="0"/>
        <v>0</v>
      </c>
      <c r="I7" s="51"/>
    </row>
    <row r="8" spans="2:9" ht="14.65" thickTop="1" x14ac:dyDescent="0.45">
      <c r="B8" s="51"/>
      <c r="C8" s="103" t="s">
        <v>35</v>
      </c>
      <c r="D8" s="101">
        <f>Gastos!C18</f>
        <v>0</v>
      </c>
      <c r="E8" s="101">
        <f>D8*(1+Ventas!AB28)</f>
        <v>0</v>
      </c>
      <c r="F8" s="101">
        <f>E8*(1+Ventas!AC28)</f>
        <v>0</v>
      </c>
      <c r="G8" s="101">
        <f>F8*(1+Ventas!AD28)</f>
        <v>0</v>
      </c>
      <c r="H8" s="101">
        <f>G8*(1+Ventas!AE28)</f>
        <v>0</v>
      </c>
      <c r="I8" s="51"/>
    </row>
    <row r="9" spans="2:9" x14ac:dyDescent="0.45">
      <c r="B9" s="51"/>
      <c r="C9" s="103" t="s">
        <v>91</v>
      </c>
      <c r="D9" s="101">
        <f>Gastos!F23</f>
        <v>0</v>
      </c>
      <c r="E9" s="101">
        <f>D9*(1+Ventas!AB28)</f>
        <v>0</v>
      </c>
      <c r="F9" s="101">
        <f>E9*(1+Ventas!AC28)</f>
        <v>0</v>
      </c>
      <c r="G9" s="101">
        <f>F9*(1+Ventas!AD28)</f>
        <v>0</v>
      </c>
      <c r="H9" s="101">
        <f>G9*(1+Ventas!AE28)</f>
        <v>0</v>
      </c>
      <c r="I9" s="51"/>
    </row>
    <row r="10" spans="2:9" x14ac:dyDescent="0.45">
      <c r="B10" s="51"/>
      <c r="C10" s="103" t="s">
        <v>36</v>
      </c>
      <c r="D10" s="101">
        <f>Gastos!C20</f>
        <v>0</v>
      </c>
      <c r="E10" s="101">
        <f>Gastos!C23</f>
        <v>0</v>
      </c>
      <c r="F10" s="101">
        <f>Gastos!C24</f>
        <v>0</v>
      </c>
      <c r="G10" s="101">
        <f>Gastos!C25</f>
        <v>0</v>
      </c>
      <c r="H10" s="101">
        <f>Gastos!C26</f>
        <v>0</v>
      </c>
      <c r="I10" s="51"/>
    </row>
    <row r="11" spans="2:9" x14ac:dyDescent="0.45">
      <c r="B11" s="51"/>
      <c r="C11" s="103" t="s">
        <v>48</v>
      </c>
      <c r="D11" s="101">
        <f>+(Gastos!C6+Gastos!C7+Gastos!C8+Gastos!C9)/5</f>
        <v>0</v>
      </c>
      <c r="E11" s="101">
        <f>D11</f>
        <v>0</v>
      </c>
      <c r="F11" s="101">
        <f t="shared" ref="F11:H11" si="1">E11</f>
        <v>0</v>
      </c>
      <c r="G11" s="101">
        <f t="shared" si="1"/>
        <v>0</v>
      </c>
      <c r="H11" s="101">
        <f t="shared" si="1"/>
        <v>0</v>
      </c>
      <c r="I11" s="51"/>
    </row>
    <row r="12" spans="2:9" ht="14.65" thickBot="1" x14ac:dyDescent="0.5">
      <c r="B12" s="51"/>
      <c r="C12" s="106" t="s">
        <v>37</v>
      </c>
      <c r="D12" s="107">
        <f>D7-D8-D9-D10-D11</f>
        <v>0</v>
      </c>
      <c r="E12" s="107">
        <f t="shared" ref="E12:H12" si="2">E7-E8-E9-E10-E11</f>
        <v>0</v>
      </c>
      <c r="F12" s="107">
        <f t="shared" si="2"/>
        <v>0</v>
      </c>
      <c r="G12" s="107">
        <f t="shared" si="2"/>
        <v>0</v>
      </c>
      <c r="H12" s="107">
        <f t="shared" si="2"/>
        <v>0</v>
      </c>
      <c r="I12" s="51"/>
    </row>
    <row r="13" spans="2:9" ht="14.65" thickTop="1" x14ac:dyDescent="0.45">
      <c r="B13" s="51"/>
      <c r="C13" s="103" t="s">
        <v>38</v>
      </c>
      <c r="D13" s="101">
        <f>Financiacion!H9</f>
        <v>0</v>
      </c>
      <c r="E13" s="101">
        <f>Financiacion!H10</f>
        <v>0</v>
      </c>
      <c r="F13" s="101">
        <f>Financiacion!H11</f>
        <v>0</v>
      </c>
      <c r="G13" s="101">
        <f>Financiacion!H12</f>
        <v>0</v>
      </c>
      <c r="H13" s="101">
        <f>Financiacion!H13</f>
        <v>0</v>
      </c>
      <c r="I13" s="51"/>
    </row>
    <row r="14" spans="2:9" ht="14.65" thickBot="1" x14ac:dyDescent="0.5">
      <c r="B14" s="51"/>
      <c r="C14" s="106" t="s">
        <v>39</v>
      </c>
      <c r="D14" s="107">
        <f>D12-D13</f>
        <v>0</v>
      </c>
      <c r="E14" s="107">
        <f t="shared" ref="E14:H14" si="3">E12-E13</f>
        <v>0</v>
      </c>
      <c r="F14" s="107">
        <f t="shared" si="3"/>
        <v>0</v>
      </c>
      <c r="G14" s="107">
        <f t="shared" si="3"/>
        <v>0</v>
      </c>
      <c r="H14" s="107">
        <f t="shared" si="3"/>
        <v>0</v>
      </c>
      <c r="I14" s="51"/>
    </row>
    <row r="15" spans="2:9" ht="14.65" thickTop="1" x14ac:dyDescent="0.45">
      <c r="B15" s="51"/>
      <c r="C15" s="103" t="s">
        <v>40</v>
      </c>
      <c r="D15" s="101">
        <f>IF(D14*Ventas!$AD$25&lt;0,0,D14*Ventas!$AD$25)</f>
        <v>0</v>
      </c>
      <c r="E15" s="101">
        <f>IF(E14*Ventas!$AD$25&lt;0,0,E14*Ventas!$AD$25)</f>
        <v>0</v>
      </c>
      <c r="F15" s="101">
        <f>IF(F14*Ventas!$AD$25&lt;0,0,F14*Ventas!$AD$25)</f>
        <v>0</v>
      </c>
      <c r="G15" s="101">
        <f>IF(G14*Ventas!$AD$25&lt;0,0,G14*Ventas!$AD$25)</f>
        <v>0</v>
      </c>
      <c r="H15" s="101">
        <f>IF(H14*Ventas!$AD$25&lt;0,0,H14*Ventas!$AD$25)</f>
        <v>0</v>
      </c>
      <c r="I15" s="51"/>
    </row>
    <row r="16" spans="2:9" ht="14.65" thickBot="1" x14ac:dyDescent="0.5">
      <c r="B16" s="51"/>
      <c r="C16" s="108" t="s">
        <v>41</v>
      </c>
      <c r="D16" s="109">
        <f>D14-D15</f>
        <v>0</v>
      </c>
      <c r="E16" s="109">
        <f t="shared" ref="E16:H16" si="4">E14-E15</f>
        <v>0</v>
      </c>
      <c r="F16" s="109">
        <f t="shared" si="4"/>
        <v>0</v>
      </c>
      <c r="G16" s="109">
        <f t="shared" si="4"/>
        <v>0</v>
      </c>
      <c r="H16" s="109">
        <f t="shared" si="4"/>
        <v>0</v>
      </c>
      <c r="I16" s="51"/>
    </row>
    <row r="17" spans="2:9" x14ac:dyDescent="0.45">
      <c r="B17" s="51"/>
      <c r="C17" s="56"/>
      <c r="D17" s="102"/>
      <c r="E17" s="102"/>
      <c r="F17" s="102"/>
      <c r="G17" s="102"/>
      <c r="H17" s="102"/>
      <c r="I17" s="51"/>
    </row>
    <row r="18" spans="2:9" x14ac:dyDescent="0.45">
      <c r="C18" s="98"/>
      <c r="D18" s="99"/>
      <c r="E18" s="99"/>
      <c r="F18" s="99"/>
      <c r="G18" s="99"/>
      <c r="H18" s="99"/>
    </row>
    <row r="20" spans="2:9" ht="19.899999999999999" x14ac:dyDescent="0.45">
      <c r="B20" s="204" t="s">
        <v>140</v>
      </c>
      <c r="C20" s="204"/>
      <c r="D20" s="204"/>
      <c r="E20" s="204"/>
      <c r="F20" s="204"/>
      <c r="G20" s="204"/>
      <c r="H20" s="204"/>
      <c r="I20" s="51"/>
    </row>
    <row r="21" spans="2:9" ht="15" x14ac:dyDescent="0.45">
      <c r="B21" s="51"/>
      <c r="C21" s="121" t="s">
        <v>147</v>
      </c>
      <c r="D21" s="100">
        <f>D4</f>
        <v>2023</v>
      </c>
      <c r="E21" s="100">
        <f>E4</f>
        <v>2024</v>
      </c>
      <c r="F21" s="100">
        <f>F4</f>
        <v>2025</v>
      </c>
      <c r="G21" s="100">
        <f>G4</f>
        <v>2026</v>
      </c>
      <c r="H21" s="100">
        <f>H4</f>
        <v>2027</v>
      </c>
      <c r="I21" s="51"/>
    </row>
    <row r="22" spans="2:9" ht="17.25" x14ac:dyDescent="0.45">
      <c r="B22" s="205" t="s">
        <v>32</v>
      </c>
      <c r="C22" s="205"/>
      <c r="D22" s="205"/>
      <c r="E22" s="205"/>
      <c r="F22" s="205"/>
      <c r="G22" s="205"/>
      <c r="H22" s="205"/>
      <c r="I22" s="51"/>
    </row>
    <row r="23" spans="2:9" x14ac:dyDescent="0.45">
      <c r="B23" s="110" t="s">
        <v>56</v>
      </c>
      <c r="C23" s="101">
        <f t="shared" ref="C23:H23" si="5">C39-C27</f>
        <v>0</v>
      </c>
      <c r="D23" s="101">
        <f t="shared" si="5"/>
        <v>0</v>
      </c>
      <c r="E23" s="101">
        <f t="shared" si="5"/>
        <v>0</v>
      </c>
      <c r="F23" s="101">
        <f t="shared" si="5"/>
        <v>0</v>
      </c>
      <c r="G23" s="101">
        <f t="shared" si="5"/>
        <v>0</v>
      </c>
      <c r="H23" s="101">
        <f t="shared" si="5"/>
        <v>0</v>
      </c>
      <c r="I23" s="51"/>
    </row>
    <row r="24" spans="2:9" x14ac:dyDescent="0.45">
      <c r="B24" s="110" t="s">
        <v>54</v>
      </c>
      <c r="C24" s="101">
        <f>Gastos!C5</f>
        <v>0</v>
      </c>
      <c r="D24" s="101">
        <f>C24</f>
        <v>0</v>
      </c>
      <c r="E24" s="101">
        <f t="shared" ref="E24:H24" si="6">D24</f>
        <v>0</v>
      </c>
      <c r="F24" s="101">
        <f t="shared" si="6"/>
        <v>0</v>
      </c>
      <c r="G24" s="101">
        <f t="shared" si="6"/>
        <v>0</v>
      </c>
      <c r="H24" s="101">
        <f t="shared" si="6"/>
        <v>0</v>
      </c>
      <c r="I24" s="104"/>
    </row>
    <row r="25" spans="2:9" x14ac:dyDescent="0.45">
      <c r="B25" s="110" t="s">
        <v>55</v>
      </c>
      <c r="C25" s="101">
        <f>Gastos!C12-Gastos!C5</f>
        <v>0</v>
      </c>
      <c r="D25" s="101">
        <f>C25</f>
        <v>0</v>
      </c>
      <c r="E25" s="101">
        <f t="shared" ref="E25:H25" si="7">D25</f>
        <v>0</v>
      </c>
      <c r="F25" s="101">
        <f t="shared" si="7"/>
        <v>0</v>
      </c>
      <c r="G25" s="101">
        <f t="shared" si="7"/>
        <v>0</v>
      </c>
      <c r="H25" s="101">
        <f t="shared" si="7"/>
        <v>0</v>
      </c>
      <c r="I25" s="104"/>
    </row>
    <row r="26" spans="2:9" x14ac:dyDescent="0.45">
      <c r="B26" s="110" t="s">
        <v>49</v>
      </c>
      <c r="C26" s="101">
        <v>0</v>
      </c>
      <c r="D26" s="101">
        <f>D11</f>
        <v>0</v>
      </c>
      <c r="E26" s="101">
        <f>E11+D11</f>
        <v>0</v>
      </c>
      <c r="F26" s="101">
        <f>F11+E11+D11</f>
        <v>0</v>
      </c>
      <c r="G26" s="101">
        <f>G11+F11+E11+D11</f>
        <v>0</v>
      </c>
      <c r="H26" s="101">
        <f>G26+H11</f>
        <v>0</v>
      </c>
      <c r="I26" s="104"/>
    </row>
    <row r="27" spans="2:9" x14ac:dyDescent="0.45">
      <c r="B27" s="110" t="s">
        <v>50</v>
      </c>
      <c r="C27" s="101">
        <f>C24+(C25-C26)</f>
        <v>0</v>
      </c>
      <c r="D27" s="101">
        <f>D24+(D25-D26)</f>
        <v>0</v>
      </c>
      <c r="E27" s="101">
        <f t="shared" ref="E27:H27" si="8">E24+(E25-E26)</f>
        <v>0</v>
      </c>
      <c r="F27" s="101">
        <f t="shared" si="8"/>
        <v>0</v>
      </c>
      <c r="G27" s="101">
        <f t="shared" si="8"/>
        <v>0</v>
      </c>
      <c r="H27" s="101">
        <f t="shared" si="8"/>
        <v>0</v>
      </c>
      <c r="I27" s="104"/>
    </row>
    <row r="28" spans="2:9" ht="14.65" thickBot="1" x14ac:dyDescent="0.5">
      <c r="B28" s="111" t="s">
        <v>47</v>
      </c>
      <c r="C28" s="112">
        <f>C23+C27</f>
        <v>0</v>
      </c>
      <c r="D28" s="112">
        <f t="shared" ref="D28:H28" si="9">D23+D27</f>
        <v>0</v>
      </c>
      <c r="E28" s="112">
        <f t="shared" si="9"/>
        <v>0</v>
      </c>
      <c r="F28" s="112">
        <f t="shared" si="9"/>
        <v>0</v>
      </c>
      <c r="G28" s="112">
        <f t="shared" si="9"/>
        <v>0</v>
      </c>
      <c r="H28" s="112">
        <f t="shared" si="9"/>
        <v>0</v>
      </c>
      <c r="I28" s="104"/>
    </row>
    <row r="29" spans="2:9" ht="17.649999999999999" thickTop="1" x14ac:dyDescent="0.45">
      <c r="B29" s="205" t="s">
        <v>42</v>
      </c>
      <c r="C29" s="205"/>
      <c r="D29" s="205"/>
      <c r="E29" s="205"/>
      <c r="F29" s="205"/>
      <c r="G29" s="205"/>
      <c r="H29" s="205"/>
      <c r="I29" s="51"/>
    </row>
    <row r="30" spans="2:9" x14ac:dyDescent="0.45">
      <c r="B30" s="110" t="s">
        <v>141</v>
      </c>
      <c r="C30" s="101">
        <v>0</v>
      </c>
      <c r="D30" s="101">
        <f>D15</f>
        <v>0</v>
      </c>
      <c r="E30" s="101">
        <f>E15</f>
        <v>0</v>
      </c>
      <c r="F30" s="101">
        <f>F15</f>
        <v>0</v>
      </c>
      <c r="G30" s="101">
        <f>G15</f>
        <v>0</v>
      </c>
      <c r="H30" s="101">
        <f>H15</f>
        <v>0</v>
      </c>
      <c r="I30" s="51"/>
    </row>
    <row r="31" spans="2:9" x14ac:dyDescent="0.45">
      <c r="B31" s="111" t="s">
        <v>43</v>
      </c>
      <c r="C31" s="113">
        <f>C30</f>
        <v>0</v>
      </c>
      <c r="D31" s="113">
        <f t="shared" ref="D31:H31" si="10">D30</f>
        <v>0</v>
      </c>
      <c r="E31" s="113">
        <f t="shared" si="10"/>
        <v>0</v>
      </c>
      <c r="F31" s="113">
        <f t="shared" si="10"/>
        <v>0</v>
      </c>
      <c r="G31" s="113">
        <f t="shared" si="10"/>
        <v>0</v>
      </c>
      <c r="H31" s="113">
        <f t="shared" si="10"/>
        <v>0</v>
      </c>
      <c r="I31" s="51"/>
    </row>
    <row r="32" spans="2:9" x14ac:dyDescent="0.45">
      <c r="B32" s="110" t="s">
        <v>142</v>
      </c>
      <c r="C32" s="101">
        <f>Financiacion!K8</f>
        <v>0</v>
      </c>
      <c r="D32" s="101">
        <f>Financiacion!K9</f>
        <v>0</v>
      </c>
      <c r="E32" s="101">
        <f>Financiacion!K10</f>
        <v>0</v>
      </c>
      <c r="F32" s="101">
        <f>Financiacion!K11</f>
        <v>0</v>
      </c>
      <c r="G32" s="101">
        <f>Financiacion!K12</f>
        <v>0</v>
      </c>
      <c r="H32" s="101">
        <f>Financiacion!K13</f>
        <v>0</v>
      </c>
      <c r="I32" s="51"/>
    </row>
    <row r="33" spans="2:9" ht="14.65" thickBot="1" x14ac:dyDescent="0.5">
      <c r="B33" s="111" t="s">
        <v>42</v>
      </c>
      <c r="C33" s="112">
        <f t="shared" ref="C33:H33" si="11">C31+C32</f>
        <v>0</v>
      </c>
      <c r="D33" s="112">
        <f t="shared" si="11"/>
        <v>0</v>
      </c>
      <c r="E33" s="112">
        <f t="shared" si="11"/>
        <v>0</v>
      </c>
      <c r="F33" s="112">
        <f t="shared" si="11"/>
        <v>0</v>
      </c>
      <c r="G33" s="112">
        <f t="shared" si="11"/>
        <v>0</v>
      </c>
      <c r="H33" s="112">
        <f t="shared" si="11"/>
        <v>0</v>
      </c>
      <c r="I33" s="51"/>
    </row>
    <row r="34" spans="2:9" ht="17.649999999999999" thickTop="1" x14ac:dyDescent="0.45">
      <c r="B34" s="205" t="s">
        <v>44</v>
      </c>
      <c r="C34" s="205"/>
      <c r="D34" s="205"/>
      <c r="E34" s="205"/>
      <c r="F34" s="205"/>
      <c r="G34" s="205"/>
      <c r="H34" s="205"/>
      <c r="I34" s="51"/>
    </row>
    <row r="35" spans="2:9" x14ac:dyDescent="0.45">
      <c r="B35" s="110" t="s">
        <v>143</v>
      </c>
      <c r="C35" s="101">
        <f>Financiacion!E15</f>
        <v>0</v>
      </c>
      <c r="D35" s="101">
        <f>C35</f>
        <v>0</v>
      </c>
      <c r="E35" s="101">
        <f t="shared" ref="E35:H35" si="12">D35</f>
        <v>0</v>
      </c>
      <c r="F35" s="101">
        <f t="shared" si="12"/>
        <v>0</v>
      </c>
      <c r="G35" s="101">
        <f t="shared" si="12"/>
        <v>0</v>
      </c>
      <c r="H35" s="101">
        <f t="shared" si="12"/>
        <v>0</v>
      </c>
      <c r="I35" s="51"/>
    </row>
    <row r="36" spans="2:9" x14ac:dyDescent="0.45">
      <c r="B36" s="110" t="s">
        <v>144</v>
      </c>
      <c r="C36" s="101">
        <v>0</v>
      </c>
      <c r="D36" s="101">
        <f>D16</f>
        <v>0</v>
      </c>
      <c r="E36" s="101">
        <f>E16</f>
        <v>0</v>
      </c>
      <c r="F36" s="101">
        <f>F16</f>
        <v>0</v>
      </c>
      <c r="G36" s="101">
        <f>G16</f>
        <v>0</v>
      </c>
      <c r="H36" s="101">
        <f>H16</f>
        <v>0</v>
      </c>
      <c r="I36" s="51"/>
    </row>
    <row r="37" spans="2:9" ht="14.65" thickBot="1" x14ac:dyDescent="0.5">
      <c r="B37" s="111" t="s">
        <v>45</v>
      </c>
      <c r="C37" s="112">
        <f>C35+C36</f>
        <v>0</v>
      </c>
      <c r="D37" s="112">
        <f t="shared" ref="D37:H37" si="13">D35+D36</f>
        <v>0</v>
      </c>
      <c r="E37" s="112">
        <f t="shared" si="13"/>
        <v>0</v>
      </c>
      <c r="F37" s="112">
        <f t="shared" si="13"/>
        <v>0</v>
      </c>
      <c r="G37" s="112">
        <f t="shared" si="13"/>
        <v>0</v>
      </c>
      <c r="H37" s="112">
        <f t="shared" si="13"/>
        <v>0</v>
      </c>
      <c r="I37" s="51"/>
    </row>
    <row r="38" spans="2:9" ht="14.65" thickTop="1" x14ac:dyDescent="0.45">
      <c r="B38" s="101"/>
      <c r="C38" s="101"/>
      <c r="D38" s="101"/>
      <c r="E38" s="101"/>
      <c r="F38" s="101"/>
      <c r="G38" s="101"/>
      <c r="H38" s="101"/>
      <c r="I38" s="51"/>
    </row>
    <row r="39" spans="2:9" ht="14.65" thickBot="1" x14ac:dyDescent="0.5">
      <c r="B39" s="111" t="s">
        <v>46</v>
      </c>
      <c r="C39" s="112">
        <f>C33+C37</f>
        <v>0</v>
      </c>
      <c r="D39" s="112">
        <f t="shared" ref="D39:H39" si="14">D33+D37</f>
        <v>0</v>
      </c>
      <c r="E39" s="112">
        <f t="shared" si="14"/>
        <v>0</v>
      </c>
      <c r="F39" s="112">
        <f t="shared" si="14"/>
        <v>0</v>
      </c>
      <c r="G39" s="112">
        <f t="shared" si="14"/>
        <v>0</v>
      </c>
      <c r="H39" s="112">
        <f t="shared" si="14"/>
        <v>0</v>
      </c>
      <c r="I39" s="51"/>
    </row>
    <row r="40" spans="2:9" ht="14.65" thickTop="1" x14ac:dyDescent="0.45">
      <c r="B40" s="111" t="s">
        <v>52</v>
      </c>
      <c r="C40" s="101">
        <f t="shared" ref="C40:H40" si="15">C28-C39</f>
        <v>0</v>
      </c>
      <c r="D40" s="101">
        <f t="shared" si="15"/>
        <v>0</v>
      </c>
      <c r="E40" s="101">
        <f t="shared" si="15"/>
        <v>0</v>
      </c>
      <c r="F40" s="101">
        <f t="shared" si="15"/>
        <v>0</v>
      </c>
      <c r="G40" s="101">
        <f t="shared" si="15"/>
        <v>0</v>
      </c>
      <c r="H40" s="101">
        <f t="shared" si="15"/>
        <v>0</v>
      </c>
      <c r="I40" s="51"/>
    </row>
    <row r="41" spans="2:9" x14ac:dyDescent="0.45">
      <c r="B41" s="51"/>
      <c r="C41" s="51"/>
      <c r="D41" s="51"/>
      <c r="E41" s="51"/>
      <c r="F41" s="51"/>
      <c r="G41" s="51"/>
      <c r="H41" s="51"/>
      <c r="I41" s="51"/>
    </row>
    <row r="43" spans="2:9" ht="22.15" x14ac:dyDescent="0.55000000000000004">
      <c r="B43" s="206" t="s">
        <v>145</v>
      </c>
      <c r="C43" s="206"/>
      <c r="D43" s="206"/>
      <c r="E43" s="206"/>
      <c r="F43" s="206"/>
      <c r="G43" s="206"/>
      <c r="H43" s="206"/>
      <c r="I43" s="206"/>
    </row>
    <row r="44" spans="2:9" ht="15.4" x14ac:dyDescent="0.45">
      <c r="B44" s="202" t="s">
        <v>57</v>
      </c>
      <c r="C44" s="202"/>
      <c r="D44" s="202"/>
      <c r="E44" s="202"/>
      <c r="F44" s="202"/>
      <c r="G44" s="202"/>
      <c r="H44" s="202"/>
      <c r="I44" s="51"/>
    </row>
    <row r="45" spans="2:9" ht="22.15" x14ac:dyDescent="0.45">
      <c r="B45" s="3"/>
      <c r="C45" s="121" t="s">
        <v>147</v>
      </c>
      <c r="D45" s="105">
        <f>D21</f>
        <v>2023</v>
      </c>
      <c r="E45" s="105">
        <f>E21</f>
        <v>2024</v>
      </c>
      <c r="F45" s="105">
        <f>F21</f>
        <v>2025</v>
      </c>
      <c r="G45" s="105">
        <f>G21</f>
        <v>2026</v>
      </c>
      <c r="H45" s="105">
        <f>H21</f>
        <v>2027</v>
      </c>
      <c r="I45" s="51"/>
    </row>
    <row r="46" spans="2:9" x14ac:dyDescent="0.45">
      <c r="B46" s="114" t="s">
        <v>58</v>
      </c>
      <c r="C46" s="101">
        <f t="shared" ref="C46:H46" si="16">C23</f>
        <v>0</v>
      </c>
      <c r="D46" s="101">
        <f t="shared" si="16"/>
        <v>0</v>
      </c>
      <c r="E46" s="101">
        <f t="shared" si="16"/>
        <v>0</v>
      </c>
      <c r="F46" s="101">
        <f t="shared" si="16"/>
        <v>0</v>
      </c>
      <c r="G46" s="101">
        <f t="shared" si="16"/>
        <v>0</v>
      </c>
      <c r="H46" s="101">
        <f t="shared" si="16"/>
        <v>0</v>
      </c>
      <c r="I46" s="51"/>
    </row>
    <row r="47" spans="2:9" ht="14.65" thickBot="1" x14ac:dyDescent="0.5">
      <c r="B47" s="114" t="s">
        <v>59</v>
      </c>
      <c r="C47" s="117">
        <f t="shared" ref="C47:H47" si="17">C30</f>
        <v>0</v>
      </c>
      <c r="D47" s="117">
        <f t="shared" si="17"/>
        <v>0</v>
      </c>
      <c r="E47" s="117">
        <f t="shared" si="17"/>
        <v>0</v>
      </c>
      <c r="F47" s="117">
        <f t="shared" si="17"/>
        <v>0</v>
      </c>
      <c r="G47" s="117">
        <f t="shared" si="17"/>
        <v>0</v>
      </c>
      <c r="H47" s="117">
        <f t="shared" si="17"/>
        <v>0</v>
      </c>
      <c r="I47" s="51"/>
    </row>
    <row r="48" spans="2:9" ht="14.65" thickTop="1" x14ac:dyDescent="0.45">
      <c r="B48" s="115" t="s">
        <v>60</v>
      </c>
      <c r="C48" s="118">
        <f t="shared" ref="C48:H48" si="18">C46-C47</f>
        <v>0</v>
      </c>
      <c r="D48" s="118">
        <f t="shared" si="18"/>
        <v>0</v>
      </c>
      <c r="E48" s="118">
        <f t="shared" si="18"/>
        <v>0</v>
      </c>
      <c r="F48" s="118">
        <f t="shared" si="18"/>
        <v>0</v>
      </c>
      <c r="G48" s="118">
        <f t="shared" si="18"/>
        <v>0</v>
      </c>
      <c r="H48" s="118">
        <f t="shared" si="18"/>
        <v>0</v>
      </c>
      <c r="I48" s="51"/>
    </row>
    <row r="49" spans="2:9" x14ac:dyDescent="0.45">
      <c r="B49" s="114"/>
      <c r="C49" s="101"/>
      <c r="D49" s="101"/>
      <c r="E49" s="101"/>
      <c r="F49" s="101"/>
      <c r="G49" s="101"/>
      <c r="H49" s="101"/>
      <c r="I49" s="51"/>
    </row>
    <row r="50" spans="2:9" x14ac:dyDescent="0.45">
      <c r="B50" s="115" t="s">
        <v>61</v>
      </c>
      <c r="C50" s="101">
        <f t="shared" ref="C50:H50" si="19">C27</f>
        <v>0</v>
      </c>
      <c r="D50" s="101">
        <f t="shared" si="19"/>
        <v>0</v>
      </c>
      <c r="E50" s="101">
        <f t="shared" si="19"/>
        <v>0</v>
      </c>
      <c r="F50" s="101">
        <f t="shared" si="19"/>
        <v>0</v>
      </c>
      <c r="G50" s="101">
        <f t="shared" si="19"/>
        <v>0</v>
      </c>
      <c r="H50" s="101">
        <f t="shared" si="19"/>
        <v>0</v>
      </c>
      <c r="I50" s="51"/>
    </row>
    <row r="51" spans="2:9" ht="14.65" thickBot="1" x14ac:dyDescent="0.5">
      <c r="B51" s="114" t="s">
        <v>62</v>
      </c>
      <c r="C51" s="117">
        <f t="shared" ref="C51:H51" si="20">C26</f>
        <v>0</v>
      </c>
      <c r="D51" s="117">
        <f t="shared" si="20"/>
        <v>0</v>
      </c>
      <c r="E51" s="117">
        <f t="shared" si="20"/>
        <v>0</v>
      </c>
      <c r="F51" s="117">
        <f t="shared" si="20"/>
        <v>0</v>
      </c>
      <c r="G51" s="117">
        <f t="shared" si="20"/>
        <v>0</v>
      </c>
      <c r="H51" s="117">
        <f t="shared" si="20"/>
        <v>0</v>
      </c>
      <c r="I51" s="51"/>
    </row>
    <row r="52" spans="2:9" ht="14.65" thickTop="1" x14ac:dyDescent="0.45">
      <c r="B52" s="115" t="s">
        <v>63</v>
      </c>
      <c r="C52" s="118">
        <f t="shared" ref="C52:H52" si="21">C50+C51</f>
        <v>0</v>
      </c>
      <c r="D52" s="118">
        <f t="shared" si="21"/>
        <v>0</v>
      </c>
      <c r="E52" s="118">
        <f t="shared" si="21"/>
        <v>0</v>
      </c>
      <c r="F52" s="118">
        <f t="shared" si="21"/>
        <v>0</v>
      </c>
      <c r="G52" s="118">
        <f t="shared" si="21"/>
        <v>0</v>
      </c>
      <c r="H52" s="118">
        <f t="shared" si="21"/>
        <v>0</v>
      </c>
      <c r="I52" s="51"/>
    </row>
    <row r="53" spans="2:9" x14ac:dyDescent="0.45">
      <c r="B53" s="114"/>
      <c r="C53" s="101"/>
      <c r="D53" s="101"/>
      <c r="E53" s="101"/>
      <c r="F53" s="101"/>
      <c r="G53" s="101"/>
      <c r="H53" s="101"/>
      <c r="I53" s="51"/>
    </row>
    <row r="54" spans="2:9" ht="14.65" thickBot="1" x14ac:dyDescent="0.5">
      <c r="B54" s="116" t="s">
        <v>64</v>
      </c>
      <c r="C54" s="119">
        <f t="shared" ref="C54:H54" si="22">C48+C50</f>
        <v>0</v>
      </c>
      <c r="D54" s="119">
        <f t="shared" si="22"/>
        <v>0</v>
      </c>
      <c r="E54" s="119">
        <f t="shared" si="22"/>
        <v>0</v>
      </c>
      <c r="F54" s="119">
        <f t="shared" si="22"/>
        <v>0</v>
      </c>
      <c r="G54" s="119">
        <f t="shared" si="22"/>
        <v>0</v>
      </c>
      <c r="H54" s="119">
        <f t="shared" si="22"/>
        <v>0</v>
      </c>
      <c r="I54" s="51"/>
    </row>
    <row r="55" spans="2:9" ht="14.65" thickTop="1" x14ac:dyDescent="0.45">
      <c r="B55" s="2"/>
      <c r="C55" s="1"/>
      <c r="D55" s="1"/>
      <c r="E55" s="1"/>
      <c r="F55" s="1"/>
      <c r="G55" s="1"/>
      <c r="H55" s="1"/>
      <c r="I55" s="51"/>
    </row>
    <row r="56" spans="2:9" ht="15.4" x14ac:dyDescent="0.45">
      <c r="B56" s="202" t="s">
        <v>65</v>
      </c>
      <c r="C56" s="202"/>
      <c r="D56" s="202"/>
      <c r="E56" s="202"/>
      <c r="F56" s="202"/>
      <c r="G56" s="202"/>
      <c r="H56" s="202"/>
      <c r="I56" s="51"/>
    </row>
    <row r="57" spans="2:9" x14ac:dyDescent="0.45">
      <c r="B57" s="114" t="s">
        <v>66</v>
      </c>
      <c r="C57" s="51"/>
      <c r="D57" s="101">
        <f>D12</f>
        <v>0</v>
      </c>
      <c r="E57" s="101">
        <f>E12</f>
        <v>0</v>
      </c>
      <c r="F57" s="101">
        <f>F12</f>
        <v>0</v>
      </c>
      <c r="G57" s="101">
        <f>G12</f>
        <v>0</v>
      </c>
      <c r="H57" s="101">
        <f>H12</f>
        <v>0</v>
      </c>
      <c r="I57" s="51"/>
    </row>
    <row r="58" spans="2:9" ht="14.65" thickBot="1" x14ac:dyDescent="0.5">
      <c r="B58" s="114" t="s">
        <v>67</v>
      </c>
      <c r="C58" s="51"/>
      <c r="D58" s="117">
        <f>D57*Ventas!$AD$25</f>
        <v>0</v>
      </c>
      <c r="E58" s="117">
        <f>E57*Ventas!$AD$25</f>
        <v>0</v>
      </c>
      <c r="F58" s="117">
        <f>F57*Ventas!$AD$25</f>
        <v>0</v>
      </c>
      <c r="G58" s="117">
        <f>G57*Ventas!$AD$25</f>
        <v>0</v>
      </c>
      <c r="H58" s="117">
        <f>H57*Ventas!$AD$25</f>
        <v>0</v>
      </c>
      <c r="I58" s="51"/>
    </row>
    <row r="59" spans="2:9" ht="14.65" thickTop="1" x14ac:dyDescent="0.45">
      <c r="B59" s="115" t="s">
        <v>68</v>
      </c>
      <c r="C59" s="51"/>
      <c r="D59" s="113">
        <f>D57-D58</f>
        <v>0</v>
      </c>
      <c r="E59" s="113">
        <f>E57-E58</f>
        <v>0</v>
      </c>
      <c r="F59" s="113">
        <f>F57-F58</f>
        <v>0</v>
      </c>
      <c r="G59" s="113">
        <f>G57-G58</f>
        <v>0</v>
      </c>
      <c r="H59" s="113">
        <f>H57-H58</f>
        <v>0</v>
      </c>
      <c r="I59" s="51"/>
    </row>
    <row r="60" spans="2:9" ht="14.65" thickBot="1" x14ac:dyDescent="0.5">
      <c r="B60" s="114" t="s">
        <v>69</v>
      </c>
      <c r="C60" s="51"/>
      <c r="D60" s="117">
        <f>-(D54-C54)</f>
        <v>0</v>
      </c>
      <c r="E60" s="117">
        <f t="shared" ref="E60:H60" si="23">-(E54-D54)</f>
        <v>0</v>
      </c>
      <c r="F60" s="117">
        <f t="shared" si="23"/>
        <v>0</v>
      </c>
      <c r="G60" s="117">
        <f t="shared" si="23"/>
        <v>0</v>
      </c>
      <c r="H60" s="117">
        <f t="shared" si="23"/>
        <v>0</v>
      </c>
      <c r="I60" s="51"/>
    </row>
    <row r="61" spans="2:9" ht="15" thickTop="1" thickBot="1" x14ac:dyDescent="0.5">
      <c r="B61" s="115" t="s">
        <v>70</v>
      </c>
      <c r="C61" s="51"/>
      <c r="D61" s="119">
        <f>SUM(D59:D60)</f>
        <v>0</v>
      </c>
      <c r="E61" s="119">
        <f t="shared" ref="E61:H61" si="24">SUM(E59:E60)</f>
        <v>0</v>
      </c>
      <c r="F61" s="119">
        <f t="shared" si="24"/>
        <v>0</v>
      </c>
      <c r="G61" s="119">
        <f t="shared" si="24"/>
        <v>0</v>
      </c>
      <c r="H61" s="119">
        <f t="shared" si="24"/>
        <v>0</v>
      </c>
      <c r="I61" s="51"/>
    </row>
    <row r="62" spans="2:9" ht="14.65" thickTop="1" x14ac:dyDescent="0.45">
      <c r="B62" s="51"/>
      <c r="C62" s="51"/>
      <c r="D62" s="51"/>
      <c r="E62" s="51"/>
      <c r="F62" s="51"/>
      <c r="G62" s="51"/>
      <c r="H62" s="51"/>
      <c r="I62" s="51"/>
    </row>
  </sheetData>
  <sheetProtection algorithmName="SHA-512" hashValue="l59nV75uAs2+MOkyuA7MpJBW7XKnXWFqrC38Ah6iEHtJ6Ovkapxudx2b4B/4vCYY2M9FPLHj97dmtVb5x79wcA==" saltValue="BbzxF55L6CfJF9rgIo4b8A==" spinCount="100000" sheet="1" formatCells="0" formatColumns="0" formatRows="0"/>
  <mergeCells count="9">
    <mergeCell ref="B44:H44"/>
    <mergeCell ref="B1:I2"/>
    <mergeCell ref="B3:I3"/>
    <mergeCell ref="B56:H56"/>
    <mergeCell ref="B22:H22"/>
    <mergeCell ref="B29:H29"/>
    <mergeCell ref="B34:H34"/>
    <mergeCell ref="B20:H20"/>
    <mergeCell ref="B43:I43"/>
  </mergeCells>
  <conditionalFormatting sqref="C23:H23">
    <cfRule type="cellIs" dxfId="10" priority="2" operator="lessThan">
      <formula>0</formula>
    </cfRule>
  </conditionalFormatting>
  <conditionalFormatting sqref="D16:H18">
    <cfRule type="cellIs" dxfId="9" priority="3" operator="lessThan">
      <formula>0</formula>
    </cfRule>
  </conditionalFormatting>
  <conditionalFormatting sqref="D61:H61">
    <cfRule type="cellIs" dxfId="8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2:Q55"/>
  <sheetViews>
    <sheetView showGridLines="0" topLeftCell="A10" zoomScale="80" zoomScaleNormal="80" workbookViewId="0">
      <selection activeCell="E19" sqref="E19"/>
    </sheetView>
  </sheetViews>
  <sheetFormatPr baseColWidth="10" defaultColWidth="11.46484375" defaultRowHeight="14.25" x14ac:dyDescent="0.45"/>
  <cols>
    <col min="1" max="1" width="7.9296875" style="5" customWidth="1"/>
    <col min="2" max="2" width="9.73046875" style="5" customWidth="1"/>
    <col min="3" max="3" width="36.6640625" style="5" customWidth="1"/>
    <col min="4" max="4" width="16.796875" style="5" customWidth="1"/>
    <col min="5" max="5" width="22.86328125" style="5" bestFit="1" customWidth="1"/>
    <col min="6" max="6" width="16.73046875" style="5" customWidth="1"/>
    <col min="7" max="7" width="17.6640625" style="5" bestFit="1" customWidth="1"/>
    <col min="8" max="8" width="16.33203125" style="5" customWidth="1"/>
    <col min="9" max="9" width="17.796875" style="5" customWidth="1"/>
    <col min="10" max="10" width="11.46484375" style="5"/>
    <col min="11" max="11" width="12" style="5" bestFit="1" customWidth="1"/>
    <col min="12" max="14" width="11.46484375" style="5"/>
    <col min="15" max="15" width="9.796875" style="5" customWidth="1"/>
    <col min="16" max="16" width="15.33203125" style="5" bestFit="1" customWidth="1"/>
    <col min="17" max="17" width="21.53125" style="5" bestFit="1" customWidth="1"/>
    <col min="18" max="16384" width="11.46484375" style="5"/>
  </cols>
  <sheetData>
    <row r="2" spans="2:17" ht="38.25" customHeight="1" x14ac:dyDescent="0.45">
      <c r="B2" s="51"/>
      <c r="C2" s="207" t="s">
        <v>90</v>
      </c>
      <c r="D2" s="207"/>
      <c r="E2" s="207"/>
      <c r="F2" s="207"/>
      <c r="G2" s="207"/>
      <c r="H2" s="207"/>
      <c r="I2" s="207"/>
      <c r="J2" s="207"/>
      <c r="K2" s="207"/>
      <c r="L2" s="207"/>
      <c r="M2" s="207"/>
      <c r="N2" s="207"/>
      <c r="O2" s="51"/>
    </row>
    <row r="3" spans="2:17" ht="19.5" customHeight="1" x14ac:dyDescent="0.45">
      <c r="B3" s="51"/>
      <c r="C3" s="120"/>
      <c r="D3" s="120"/>
      <c r="E3" s="120"/>
      <c r="F3" s="120"/>
      <c r="G3" s="120"/>
      <c r="H3" s="120"/>
      <c r="I3" s="120"/>
      <c r="J3" s="120"/>
      <c r="K3" s="51"/>
      <c r="L3" s="51"/>
      <c r="M3" s="51"/>
      <c r="N3" s="51"/>
      <c r="O3" s="51"/>
    </row>
    <row r="4" spans="2:17" ht="15.75" customHeight="1" x14ac:dyDescent="0.45">
      <c r="B4" s="51"/>
      <c r="C4" s="210" t="s">
        <v>71</v>
      </c>
      <c r="D4" s="210"/>
      <c r="E4" s="210"/>
      <c r="F4" s="218">
        <v>0.3</v>
      </c>
      <c r="G4" s="219"/>
      <c r="H4" s="51"/>
      <c r="I4" s="51"/>
      <c r="J4" s="51"/>
      <c r="K4" s="51"/>
      <c r="L4" s="51"/>
      <c r="M4" s="51"/>
      <c r="N4" s="51"/>
      <c r="O4" s="51"/>
    </row>
    <row r="5" spans="2:17" ht="16.5" customHeight="1" x14ac:dyDescent="0.45">
      <c r="B5" s="51"/>
      <c r="C5" s="210"/>
      <c r="D5" s="210"/>
      <c r="E5" s="210"/>
      <c r="F5" s="218"/>
      <c r="G5" s="219"/>
      <c r="H5" s="51"/>
      <c r="I5" s="51"/>
      <c r="J5" s="51"/>
      <c r="K5" s="51"/>
      <c r="L5" s="51"/>
      <c r="M5" s="51"/>
      <c r="N5" s="51"/>
      <c r="O5" s="51"/>
      <c r="P5" s="129"/>
    </row>
    <row r="6" spans="2:17" ht="14.65" thickBot="1" x14ac:dyDescent="0.5"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129"/>
      <c r="Q6" s="130"/>
    </row>
    <row r="7" spans="2:17" ht="15" x14ac:dyDescent="0.45">
      <c r="B7" s="51"/>
      <c r="C7" s="168" t="s">
        <v>149</v>
      </c>
      <c r="D7" s="165" t="s">
        <v>146</v>
      </c>
      <c r="E7" s="166">
        <f>Balances!D21</f>
        <v>2023</v>
      </c>
      <c r="F7" s="166">
        <f>Balances!E21</f>
        <v>2024</v>
      </c>
      <c r="G7" s="166">
        <f>Balances!F21</f>
        <v>2025</v>
      </c>
      <c r="H7" s="166">
        <f>Balances!G21</f>
        <v>2026</v>
      </c>
      <c r="I7" s="167">
        <f>Balances!H21</f>
        <v>2027</v>
      </c>
      <c r="J7" s="51"/>
      <c r="K7" s="51"/>
      <c r="L7" s="51"/>
      <c r="M7" s="51"/>
      <c r="N7" s="51"/>
      <c r="O7" s="51"/>
      <c r="P7" s="129"/>
      <c r="Q7" s="131"/>
    </row>
    <row r="8" spans="2:17" ht="18.399999999999999" thickBot="1" x14ac:dyDescent="0.6">
      <c r="B8" s="51"/>
      <c r="C8" s="133"/>
      <c r="D8" s="134">
        <f>-Financiacion!E14</f>
        <v>0</v>
      </c>
      <c r="E8" s="134">
        <f>Balances!D61</f>
        <v>0</v>
      </c>
      <c r="F8" s="134">
        <f>Balances!E61</f>
        <v>0</v>
      </c>
      <c r="G8" s="134">
        <f>Balances!F61</f>
        <v>0</v>
      </c>
      <c r="H8" s="134">
        <f>Balances!G61</f>
        <v>0</v>
      </c>
      <c r="I8" s="135">
        <f>Balances!H61</f>
        <v>0</v>
      </c>
      <c r="J8" s="51"/>
      <c r="K8" s="51"/>
      <c r="L8" s="51"/>
      <c r="M8" s="51"/>
      <c r="N8" s="51"/>
      <c r="O8" s="51"/>
      <c r="P8" s="129"/>
      <c r="Q8" s="131"/>
    </row>
    <row r="9" spans="2:17" ht="14.65" thickBot="1" x14ac:dyDescent="0.5">
      <c r="B9" s="51"/>
      <c r="C9" s="51"/>
      <c r="D9" s="52">
        <f>D8/(1+$F$4)^0</f>
        <v>0</v>
      </c>
      <c r="E9" s="52">
        <f>E8/(1+$F$4)^1</f>
        <v>0</v>
      </c>
      <c r="F9" s="52">
        <f>F8/(1+$F$4)^2</f>
        <v>0</v>
      </c>
      <c r="G9" s="52">
        <f>G8/(1+$F$4)^3</f>
        <v>0</v>
      </c>
      <c r="H9" s="52">
        <f>H8/(1+$F$4)^4</f>
        <v>0</v>
      </c>
      <c r="I9" s="52">
        <f>I8/(1+$F$4)^5</f>
        <v>0</v>
      </c>
      <c r="J9" s="51"/>
      <c r="K9" s="51"/>
      <c r="L9" s="51"/>
      <c r="M9" s="51"/>
      <c r="N9" s="51"/>
      <c r="O9" s="51"/>
      <c r="P9" s="129"/>
      <c r="Q9" s="131"/>
    </row>
    <row r="10" spans="2:17" ht="23.65" thickBot="1" x14ac:dyDescent="0.75">
      <c r="B10" s="51"/>
      <c r="C10" s="180" t="s">
        <v>72</v>
      </c>
      <c r="D10" s="181"/>
      <c r="E10" s="176">
        <f>NPV(F4,E8:I8)+$D$8</f>
        <v>0</v>
      </c>
      <c r="F10" s="213" t="s">
        <v>92</v>
      </c>
      <c r="G10" s="214"/>
      <c r="H10" s="177" t="str">
        <f>IF(ISERROR(-D9/AVERAGE(E9:I9)),"NO_APLICA",(-D9/AVERAGE(E9:I9)))</f>
        <v>NO_APLICA</v>
      </c>
      <c r="I10" s="48" t="s">
        <v>31</v>
      </c>
      <c r="J10" s="51"/>
      <c r="K10" s="51"/>
      <c r="L10" s="51"/>
      <c r="M10" s="51"/>
      <c r="N10" s="51"/>
      <c r="O10" s="51"/>
      <c r="P10" s="129"/>
      <c r="Q10" s="131"/>
    </row>
    <row r="11" spans="2:17" ht="28.5" thickBot="1" x14ac:dyDescent="0.5">
      <c r="B11" s="51"/>
      <c r="C11" s="196" t="s">
        <v>73</v>
      </c>
      <c r="D11" s="212"/>
      <c r="E11" s="215" t="str">
        <f>IF(ISERROR(IRR(D8:I8)),"Negocio No Viable",(IRR(D8:I8)))</f>
        <v>Negocio No Viable</v>
      </c>
      <c r="F11" s="216"/>
      <c r="G11" s="217"/>
      <c r="H11" s="178"/>
      <c r="I11" s="51"/>
      <c r="J11" s="51"/>
      <c r="K11" s="51"/>
      <c r="L11" s="51"/>
      <c r="M11" s="51"/>
      <c r="N11" s="51"/>
      <c r="O11" s="51"/>
      <c r="Q11" s="132"/>
    </row>
    <row r="12" spans="2:17" x14ac:dyDescent="0.4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</row>
    <row r="13" spans="2:17" ht="22.5" thickBot="1" x14ac:dyDescent="0.6">
      <c r="B13" s="51"/>
      <c r="C13" s="211" t="s">
        <v>77</v>
      </c>
      <c r="D13" s="211"/>
      <c r="E13" s="211"/>
      <c r="F13" s="211"/>
      <c r="G13" s="211"/>
      <c r="H13" s="211"/>
      <c r="I13" s="211"/>
      <c r="J13" s="51"/>
      <c r="K13" s="51"/>
      <c r="L13" s="51"/>
      <c r="M13" s="51"/>
      <c r="N13" s="51"/>
      <c r="O13" s="51"/>
    </row>
    <row r="14" spans="2:17" ht="48.75" customHeight="1" thickBot="1" x14ac:dyDescent="0.5">
      <c r="B14" s="51"/>
      <c r="C14" s="162" t="str">
        <f>Ventas!C4</f>
        <v>NOMBRE DEL PRODUCTO O SERVICIO</v>
      </c>
      <c r="D14" s="163" t="s">
        <v>78</v>
      </c>
      <c r="E14" s="163" t="s">
        <v>79</v>
      </c>
      <c r="F14" s="163" t="s">
        <v>80</v>
      </c>
      <c r="G14" s="163" t="s">
        <v>82</v>
      </c>
      <c r="H14" s="164"/>
      <c r="I14" s="161"/>
      <c r="J14" s="52"/>
      <c r="K14" s="52" t="s">
        <v>86</v>
      </c>
      <c r="L14" s="51"/>
      <c r="M14" s="51"/>
      <c r="N14" s="51"/>
      <c r="O14" s="51"/>
    </row>
    <row r="15" spans="2:17" x14ac:dyDescent="0.45">
      <c r="B15" s="51"/>
      <c r="C15" s="140" t="str">
        <f>IF(Ventas!C5 = 0, " ",Ventas!C5)</f>
        <v xml:space="preserve"> </v>
      </c>
      <c r="D15" s="136">
        <f>Ventas!E5-Ventas!E19</f>
        <v>0</v>
      </c>
      <c r="E15" s="158">
        <f>Ventas!G5</f>
        <v>0</v>
      </c>
      <c r="F15" s="155">
        <f>D15*E15</f>
        <v>0</v>
      </c>
      <c r="G15" s="155">
        <f t="shared" ref="G15:G24" si="0">$F$27*E15</f>
        <v>0</v>
      </c>
      <c r="H15" s="137" t="s">
        <v>81</v>
      </c>
      <c r="I15" s="138">
        <f>Ventas!E5</f>
        <v>0</v>
      </c>
      <c r="J15" s="139">
        <f t="shared" ref="J15:J24" si="1">$C$34*E15</f>
        <v>0</v>
      </c>
      <c r="K15" s="53">
        <f>Ventas!E19</f>
        <v>0</v>
      </c>
      <c r="L15" s="51"/>
      <c r="M15" s="51"/>
      <c r="N15" s="51"/>
      <c r="O15" s="51"/>
    </row>
    <row r="16" spans="2:17" x14ac:dyDescent="0.45">
      <c r="B16" s="51"/>
      <c r="C16" s="140" t="str">
        <f>IF(Ventas!C6 = 0, " ",Ventas!C6)</f>
        <v xml:space="preserve"> </v>
      </c>
      <c r="D16" s="127">
        <f>Ventas!E6-Ventas!E20</f>
        <v>0</v>
      </c>
      <c r="E16" s="159">
        <f>Ventas!G6</f>
        <v>0</v>
      </c>
      <c r="F16" s="156">
        <f t="shared" ref="F16:F24" si="2">D16*E16</f>
        <v>0</v>
      </c>
      <c r="G16" s="156">
        <f t="shared" si="0"/>
        <v>0</v>
      </c>
      <c r="H16" s="173" t="str">
        <f>H15</f>
        <v>UNIDADES</v>
      </c>
      <c r="I16" s="141">
        <f>Ventas!E6</f>
        <v>0</v>
      </c>
      <c r="J16" s="139">
        <f t="shared" si="1"/>
        <v>0</v>
      </c>
      <c r="K16" s="53">
        <f>Ventas!E20</f>
        <v>0</v>
      </c>
      <c r="L16" s="51"/>
      <c r="M16" s="51"/>
      <c r="N16" s="51"/>
      <c r="O16" s="51"/>
    </row>
    <row r="17" spans="2:15" x14ac:dyDescent="0.45">
      <c r="B17" s="51"/>
      <c r="C17" s="140" t="str">
        <f>IF(Ventas!C7 = 0, " ",Ventas!C7)</f>
        <v xml:space="preserve"> </v>
      </c>
      <c r="D17" s="127">
        <f>Ventas!E7-Ventas!E21</f>
        <v>0</v>
      </c>
      <c r="E17" s="159">
        <f>Ventas!G7</f>
        <v>0</v>
      </c>
      <c r="F17" s="156">
        <f t="shared" si="2"/>
        <v>0</v>
      </c>
      <c r="G17" s="156">
        <f t="shared" si="0"/>
        <v>0</v>
      </c>
      <c r="H17" s="173" t="str">
        <f t="shared" ref="H17:H24" si="3">H16</f>
        <v>UNIDADES</v>
      </c>
      <c r="I17" s="141">
        <f>Ventas!E7</f>
        <v>0</v>
      </c>
      <c r="J17" s="139">
        <f t="shared" si="1"/>
        <v>0</v>
      </c>
      <c r="K17" s="53">
        <f>Ventas!E21</f>
        <v>0</v>
      </c>
      <c r="L17" s="51"/>
      <c r="M17" s="51"/>
      <c r="N17" s="51"/>
      <c r="O17" s="51"/>
    </row>
    <row r="18" spans="2:15" x14ac:dyDescent="0.45">
      <c r="B18" s="51"/>
      <c r="C18" s="140" t="str">
        <f>IF(Ventas!C8 = 0, " ",Ventas!C8)</f>
        <v xml:space="preserve"> </v>
      </c>
      <c r="D18" s="127">
        <f>Ventas!E8-Ventas!E22</f>
        <v>0</v>
      </c>
      <c r="E18" s="159">
        <f>Ventas!G8</f>
        <v>0</v>
      </c>
      <c r="F18" s="156">
        <f t="shared" si="2"/>
        <v>0</v>
      </c>
      <c r="G18" s="156">
        <f t="shared" si="0"/>
        <v>0</v>
      </c>
      <c r="H18" s="173" t="str">
        <f t="shared" si="3"/>
        <v>UNIDADES</v>
      </c>
      <c r="I18" s="141">
        <f>Ventas!E8</f>
        <v>0</v>
      </c>
      <c r="J18" s="139">
        <f t="shared" si="1"/>
        <v>0</v>
      </c>
      <c r="K18" s="53">
        <f>Ventas!E22</f>
        <v>0</v>
      </c>
      <c r="L18" s="51"/>
      <c r="M18" s="51"/>
      <c r="N18" s="51"/>
      <c r="O18" s="51"/>
    </row>
    <row r="19" spans="2:15" x14ac:dyDescent="0.45">
      <c r="B19" s="51"/>
      <c r="C19" s="140" t="str">
        <f>IF(Ventas!C9 = 0, " ",Ventas!C9)</f>
        <v xml:space="preserve"> </v>
      </c>
      <c r="D19" s="127">
        <f>Ventas!E9-Ventas!E23</f>
        <v>0</v>
      </c>
      <c r="E19" s="159">
        <f>Ventas!G9</f>
        <v>0</v>
      </c>
      <c r="F19" s="156">
        <f t="shared" si="2"/>
        <v>0</v>
      </c>
      <c r="G19" s="156">
        <f t="shared" si="0"/>
        <v>0</v>
      </c>
      <c r="H19" s="173" t="str">
        <f t="shared" si="3"/>
        <v>UNIDADES</v>
      </c>
      <c r="I19" s="141">
        <f>Ventas!E9</f>
        <v>0</v>
      </c>
      <c r="J19" s="139">
        <f t="shared" si="1"/>
        <v>0</v>
      </c>
      <c r="K19" s="53">
        <f>Ventas!E23</f>
        <v>0</v>
      </c>
      <c r="L19" s="51"/>
      <c r="M19" s="51"/>
      <c r="N19" s="51"/>
      <c r="O19" s="51"/>
    </row>
    <row r="20" spans="2:15" x14ac:dyDescent="0.45">
      <c r="B20" s="51"/>
      <c r="C20" s="140" t="str">
        <f>IF(Ventas!C10 = 0, " ",Ventas!C10)</f>
        <v xml:space="preserve"> </v>
      </c>
      <c r="D20" s="127">
        <f>Ventas!E10-Ventas!E24</f>
        <v>0</v>
      </c>
      <c r="E20" s="159">
        <f>Ventas!G10</f>
        <v>0</v>
      </c>
      <c r="F20" s="156">
        <f t="shared" si="2"/>
        <v>0</v>
      </c>
      <c r="G20" s="156">
        <f t="shared" si="0"/>
        <v>0</v>
      </c>
      <c r="H20" s="173" t="str">
        <f t="shared" si="3"/>
        <v>UNIDADES</v>
      </c>
      <c r="I20" s="141">
        <f>Ventas!E10</f>
        <v>0</v>
      </c>
      <c r="J20" s="139">
        <f t="shared" si="1"/>
        <v>0</v>
      </c>
      <c r="K20" s="53">
        <f>Ventas!E24</f>
        <v>0</v>
      </c>
      <c r="L20" s="51"/>
      <c r="M20" s="51"/>
      <c r="N20" s="51"/>
      <c r="O20" s="51"/>
    </row>
    <row r="21" spans="2:15" x14ac:dyDescent="0.45">
      <c r="B21" s="51"/>
      <c r="C21" s="140" t="str">
        <f>IF(Ventas!C11 = 0, " ",Ventas!C11)</f>
        <v xml:space="preserve"> </v>
      </c>
      <c r="D21" s="127">
        <f>Ventas!E11-Ventas!E25</f>
        <v>0</v>
      </c>
      <c r="E21" s="159">
        <f>Ventas!G11</f>
        <v>0</v>
      </c>
      <c r="F21" s="156">
        <f t="shared" si="2"/>
        <v>0</v>
      </c>
      <c r="G21" s="156">
        <f t="shared" si="0"/>
        <v>0</v>
      </c>
      <c r="H21" s="173" t="str">
        <f t="shared" si="3"/>
        <v>UNIDADES</v>
      </c>
      <c r="I21" s="141">
        <f>Ventas!E11</f>
        <v>0</v>
      </c>
      <c r="J21" s="139">
        <f t="shared" si="1"/>
        <v>0</v>
      </c>
      <c r="K21" s="53">
        <f>Ventas!E25</f>
        <v>0</v>
      </c>
      <c r="L21" s="51"/>
      <c r="M21" s="51"/>
      <c r="N21" s="51"/>
      <c r="O21" s="51"/>
    </row>
    <row r="22" spans="2:15" x14ac:dyDescent="0.45">
      <c r="B22" s="51"/>
      <c r="C22" s="140" t="str">
        <f>IF(Ventas!C12 = 0, " ",Ventas!C12)</f>
        <v xml:space="preserve"> </v>
      </c>
      <c r="D22" s="127">
        <f>Ventas!E12-Ventas!E26</f>
        <v>0</v>
      </c>
      <c r="E22" s="159">
        <f>Ventas!G12</f>
        <v>0</v>
      </c>
      <c r="F22" s="156">
        <f t="shared" si="2"/>
        <v>0</v>
      </c>
      <c r="G22" s="156">
        <f t="shared" si="0"/>
        <v>0</v>
      </c>
      <c r="H22" s="173" t="str">
        <f t="shared" si="3"/>
        <v>UNIDADES</v>
      </c>
      <c r="I22" s="141">
        <f>Ventas!E12</f>
        <v>0</v>
      </c>
      <c r="J22" s="139">
        <f t="shared" si="1"/>
        <v>0</v>
      </c>
      <c r="K22" s="53">
        <f>Ventas!E26</f>
        <v>0</v>
      </c>
      <c r="L22" s="51"/>
      <c r="M22" s="51"/>
      <c r="N22" s="51"/>
      <c r="O22" s="51"/>
    </row>
    <row r="23" spans="2:15" x14ac:dyDescent="0.45">
      <c r="B23" s="51"/>
      <c r="C23" s="140" t="str">
        <f>IF(Ventas!C13 = 0, " ",Ventas!C13)</f>
        <v xml:space="preserve"> </v>
      </c>
      <c r="D23" s="127">
        <f>Ventas!E13-Ventas!E27</f>
        <v>0</v>
      </c>
      <c r="E23" s="159">
        <f>Ventas!G13</f>
        <v>0</v>
      </c>
      <c r="F23" s="156">
        <f t="shared" si="2"/>
        <v>0</v>
      </c>
      <c r="G23" s="156">
        <f t="shared" si="0"/>
        <v>0</v>
      </c>
      <c r="H23" s="173" t="str">
        <f t="shared" si="3"/>
        <v>UNIDADES</v>
      </c>
      <c r="I23" s="141">
        <f>Ventas!E13</f>
        <v>0</v>
      </c>
      <c r="J23" s="139">
        <f t="shared" si="1"/>
        <v>0</v>
      </c>
      <c r="K23" s="53">
        <f>Ventas!E27</f>
        <v>0</v>
      </c>
      <c r="L23" s="51"/>
      <c r="M23" s="51"/>
      <c r="N23" s="51"/>
      <c r="O23" s="51"/>
    </row>
    <row r="24" spans="2:15" ht="14.65" thickBot="1" x14ac:dyDescent="0.5">
      <c r="B24" s="51"/>
      <c r="C24" s="142" t="str">
        <f>IF(Ventas!C14 = 0, " ",Ventas!C14)</f>
        <v xml:space="preserve"> </v>
      </c>
      <c r="D24" s="143">
        <f>Ventas!E14-Ventas!E28</f>
        <v>0</v>
      </c>
      <c r="E24" s="160">
        <f>Ventas!G14</f>
        <v>0</v>
      </c>
      <c r="F24" s="157">
        <f t="shared" si="2"/>
        <v>0</v>
      </c>
      <c r="G24" s="157">
        <f t="shared" si="0"/>
        <v>0</v>
      </c>
      <c r="H24" s="144" t="str">
        <f t="shared" si="3"/>
        <v>UNIDADES</v>
      </c>
      <c r="I24" s="145">
        <f>Ventas!E14</f>
        <v>0</v>
      </c>
      <c r="J24" s="139">
        <f t="shared" si="1"/>
        <v>0</v>
      </c>
      <c r="K24" s="53">
        <f>Ventas!E28</f>
        <v>0</v>
      </c>
      <c r="L24" s="51"/>
      <c r="M24" s="51"/>
      <c r="N24" s="51"/>
      <c r="O24" s="51"/>
    </row>
    <row r="25" spans="2:15" ht="17.25" customHeight="1" thickBot="1" x14ac:dyDescent="0.75">
      <c r="B25" s="51"/>
      <c r="C25" s="51"/>
      <c r="D25" s="104"/>
      <c r="E25" s="146"/>
      <c r="F25" s="104"/>
      <c r="G25" s="175">
        <f>SUM(G15:G24)</f>
        <v>0</v>
      </c>
      <c r="H25" s="174" t="str">
        <f>H24</f>
        <v>UNIDADES</v>
      </c>
      <c r="I25" s="53"/>
      <c r="J25" s="139"/>
      <c r="K25" s="53"/>
      <c r="L25" s="51"/>
      <c r="M25" s="51"/>
      <c r="N25" s="51"/>
      <c r="O25" s="51"/>
    </row>
    <row r="26" spans="2:15" ht="21" customHeight="1" x14ac:dyDescent="0.7">
      <c r="B26" s="51"/>
      <c r="C26" s="209" t="s">
        <v>89</v>
      </c>
      <c r="D26" s="209"/>
      <c r="E26" s="209"/>
      <c r="F26" s="59">
        <f>SUM(F15:F24)</f>
        <v>0</v>
      </c>
      <c r="G26" s="147"/>
      <c r="H26" s="51"/>
      <c r="I26" s="53"/>
      <c r="J26" s="139"/>
      <c r="K26" s="53"/>
      <c r="L26" s="51"/>
      <c r="M26" s="51"/>
      <c r="N26" s="51"/>
      <c r="O26" s="51"/>
    </row>
    <row r="27" spans="2:15" ht="21" customHeight="1" x14ac:dyDescent="0.45">
      <c r="B27" s="51"/>
      <c r="C27" s="209" t="s">
        <v>88</v>
      </c>
      <c r="D27" s="209"/>
      <c r="E27" s="209"/>
      <c r="F27" s="59">
        <f>IF(F26=0,0,(Gastos!C18+Gastos!F23+Gastos!C20)/Simulacion!F26)</f>
        <v>0</v>
      </c>
      <c r="G27" s="51"/>
      <c r="H27" s="51"/>
      <c r="I27" s="52"/>
      <c r="J27" s="52"/>
      <c r="K27" s="52"/>
      <c r="L27" s="51"/>
      <c r="M27" s="51"/>
      <c r="N27" s="51"/>
      <c r="O27" s="51"/>
    </row>
    <row r="28" spans="2:15" ht="32.65" customHeight="1" x14ac:dyDescent="0.45">
      <c r="B28" s="51"/>
      <c r="C28" s="208" t="s">
        <v>96</v>
      </c>
      <c r="D28" s="208"/>
      <c r="E28" s="208"/>
      <c r="F28" s="59">
        <f>F48</f>
        <v>0</v>
      </c>
      <c r="G28" s="58"/>
      <c r="H28" s="51"/>
      <c r="I28" s="148"/>
      <c r="J28" s="51"/>
      <c r="K28" s="51"/>
      <c r="L28" s="51"/>
      <c r="M28" s="51"/>
      <c r="N28" s="51"/>
      <c r="O28" s="51"/>
    </row>
    <row r="29" spans="2:15" ht="33.4" customHeight="1" x14ac:dyDescent="0.45"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</row>
    <row r="30" spans="2:15" x14ac:dyDescent="0.45">
      <c r="C30" s="149"/>
      <c r="D30" s="149"/>
      <c r="E30" s="149"/>
      <c r="F30" s="149"/>
      <c r="G30" s="149"/>
      <c r="H30" s="149"/>
    </row>
    <row r="31" spans="2:15" x14ac:dyDescent="0.45">
      <c r="C31" s="149"/>
      <c r="D31" s="149" t="s">
        <v>83</v>
      </c>
      <c r="E31" s="149" t="s">
        <v>84</v>
      </c>
      <c r="F31" s="149" t="s">
        <v>87</v>
      </c>
      <c r="G31" s="149"/>
      <c r="H31" s="149"/>
    </row>
    <row r="32" spans="2:15" x14ac:dyDescent="0.45">
      <c r="C32" s="149">
        <v>0</v>
      </c>
      <c r="D32" s="150">
        <f>Gastos!C20+Gastos!F23+Gastos!C18</f>
        <v>0</v>
      </c>
      <c r="E32" s="149">
        <f>0</f>
        <v>0</v>
      </c>
      <c r="F32" s="149">
        <v>0</v>
      </c>
      <c r="G32" s="149" t="s">
        <v>85</v>
      </c>
      <c r="H32" s="149"/>
      <c r="I32" s="49"/>
    </row>
    <row r="33" spans="3:9" x14ac:dyDescent="0.45">
      <c r="C33" s="151">
        <f>G25</f>
        <v>0</v>
      </c>
      <c r="D33" s="150">
        <f>D32</f>
        <v>0</v>
      </c>
      <c r="E33" s="152">
        <f>SUMPRODUCT(G15:G24,I15:I24)</f>
        <v>0</v>
      </c>
      <c r="F33" s="152">
        <f>SUMPRODUCT(G15:G24,K15:K24)</f>
        <v>0</v>
      </c>
      <c r="G33" s="150">
        <f>D32+F32</f>
        <v>0</v>
      </c>
      <c r="H33" s="149"/>
      <c r="I33" s="49"/>
    </row>
    <row r="34" spans="3:9" x14ac:dyDescent="0.45">
      <c r="C34" s="151">
        <f>C33*2</f>
        <v>0</v>
      </c>
      <c r="D34" s="150">
        <f>D33</f>
        <v>0</v>
      </c>
      <c r="E34" s="152">
        <f>SUMPRODUCT(I15:I24,J15:J24)</f>
        <v>0</v>
      </c>
      <c r="F34" s="152">
        <f>SUMPRODUCT(J15:J24,K15:K24)</f>
        <v>0</v>
      </c>
      <c r="G34" s="150">
        <f>D33+F33</f>
        <v>0</v>
      </c>
      <c r="H34" s="149"/>
      <c r="I34" s="49"/>
    </row>
    <row r="35" spans="3:9" x14ac:dyDescent="0.45">
      <c r="C35" s="149"/>
      <c r="D35" s="150"/>
      <c r="E35" s="149"/>
      <c r="F35" s="149"/>
      <c r="G35" s="150">
        <f>D34+F34</f>
        <v>0</v>
      </c>
      <c r="H35" s="149"/>
    </row>
    <row r="36" spans="3:9" x14ac:dyDescent="0.45">
      <c r="C36" s="149"/>
      <c r="D36" s="150"/>
      <c r="E36" s="149"/>
      <c r="F36" s="149"/>
      <c r="G36" s="149"/>
      <c r="H36" s="149"/>
      <c r="I36" s="49"/>
    </row>
    <row r="37" spans="3:9" x14ac:dyDescent="0.45">
      <c r="C37" s="149"/>
      <c r="D37" s="153" t="s">
        <v>94</v>
      </c>
      <c r="E37" s="149" t="s">
        <v>81</v>
      </c>
      <c r="F37" s="149" t="s">
        <v>95</v>
      </c>
      <c r="G37" s="149"/>
      <c r="H37" s="149"/>
      <c r="I37" s="49"/>
    </row>
    <row r="38" spans="3:9" x14ac:dyDescent="0.45">
      <c r="C38" s="149">
        <v>1</v>
      </c>
      <c r="D38" s="150">
        <f>Ventas!E5</f>
        <v>0</v>
      </c>
      <c r="E38" s="151">
        <f>G15</f>
        <v>0</v>
      </c>
      <c r="F38" s="149">
        <f>D38*E38</f>
        <v>0</v>
      </c>
      <c r="G38" s="149"/>
      <c r="H38" s="149"/>
      <c r="I38" s="49"/>
    </row>
    <row r="39" spans="3:9" x14ac:dyDescent="0.45">
      <c r="C39" s="149">
        <f>C38+1</f>
        <v>2</v>
      </c>
      <c r="D39" s="150">
        <f>Ventas!E6</f>
        <v>0</v>
      </c>
      <c r="E39" s="151">
        <f t="shared" ref="E39:E47" si="4">G16</f>
        <v>0</v>
      </c>
      <c r="F39" s="149">
        <f t="shared" ref="F39:F47" si="5">D39*E39</f>
        <v>0</v>
      </c>
      <c r="G39" s="149"/>
      <c r="H39" s="149"/>
      <c r="I39" s="49"/>
    </row>
    <row r="40" spans="3:9" x14ac:dyDescent="0.45">
      <c r="C40" s="149">
        <f t="shared" ref="C40:C47" si="6">C39+1</f>
        <v>3</v>
      </c>
      <c r="D40" s="150">
        <f>Ventas!E7</f>
        <v>0</v>
      </c>
      <c r="E40" s="151">
        <f t="shared" si="4"/>
        <v>0</v>
      </c>
      <c r="F40" s="149">
        <f t="shared" si="5"/>
        <v>0</v>
      </c>
      <c r="G40" s="149"/>
      <c r="H40" s="149"/>
      <c r="I40" s="49"/>
    </row>
    <row r="41" spans="3:9" x14ac:dyDescent="0.45">
      <c r="C41" s="149">
        <f t="shared" si="6"/>
        <v>4</v>
      </c>
      <c r="D41" s="150">
        <f>Ventas!E8</f>
        <v>0</v>
      </c>
      <c r="E41" s="151">
        <f t="shared" si="4"/>
        <v>0</v>
      </c>
      <c r="F41" s="149">
        <f t="shared" si="5"/>
        <v>0</v>
      </c>
      <c r="G41" s="149"/>
      <c r="H41" s="149"/>
      <c r="I41" s="49"/>
    </row>
    <row r="42" spans="3:9" x14ac:dyDescent="0.45">
      <c r="C42" s="149">
        <f t="shared" si="6"/>
        <v>5</v>
      </c>
      <c r="D42" s="150">
        <f>Ventas!E9</f>
        <v>0</v>
      </c>
      <c r="E42" s="151">
        <f t="shared" si="4"/>
        <v>0</v>
      </c>
      <c r="F42" s="149">
        <f t="shared" si="5"/>
        <v>0</v>
      </c>
      <c r="G42" s="149"/>
      <c r="H42" s="149"/>
      <c r="I42" s="49"/>
    </row>
    <row r="43" spans="3:9" x14ac:dyDescent="0.45">
      <c r="C43" s="149">
        <f t="shared" si="6"/>
        <v>6</v>
      </c>
      <c r="D43" s="150">
        <f>Ventas!E10</f>
        <v>0</v>
      </c>
      <c r="E43" s="151">
        <f t="shared" si="4"/>
        <v>0</v>
      </c>
      <c r="F43" s="149">
        <f t="shared" si="5"/>
        <v>0</v>
      </c>
      <c r="G43" s="149"/>
      <c r="H43" s="149"/>
      <c r="I43" s="49"/>
    </row>
    <row r="44" spans="3:9" x14ac:dyDescent="0.45">
      <c r="C44" s="149">
        <f t="shared" si="6"/>
        <v>7</v>
      </c>
      <c r="D44" s="150">
        <f>Ventas!E11</f>
        <v>0</v>
      </c>
      <c r="E44" s="151">
        <f t="shared" si="4"/>
        <v>0</v>
      </c>
      <c r="F44" s="149">
        <f t="shared" si="5"/>
        <v>0</v>
      </c>
      <c r="G44" s="149"/>
      <c r="H44" s="149"/>
      <c r="I44" s="49"/>
    </row>
    <row r="45" spans="3:9" x14ac:dyDescent="0.45">
      <c r="C45" s="149">
        <f t="shared" si="6"/>
        <v>8</v>
      </c>
      <c r="D45" s="150">
        <f>Ventas!E12</f>
        <v>0</v>
      </c>
      <c r="E45" s="151">
        <f t="shared" si="4"/>
        <v>0</v>
      </c>
      <c r="F45" s="149">
        <f t="shared" si="5"/>
        <v>0</v>
      </c>
      <c r="G45" s="149"/>
      <c r="H45" s="149"/>
      <c r="I45" s="49"/>
    </row>
    <row r="46" spans="3:9" x14ac:dyDescent="0.45">
      <c r="C46" s="149">
        <f t="shared" si="6"/>
        <v>9</v>
      </c>
      <c r="D46" s="150">
        <f>Ventas!E13</f>
        <v>0</v>
      </c>
      <c r="E46" s="151">
        <f t="shared" si="4"/>
        <v>0</v>
      </c>
      <c r="F46" s="149">
        <f t="shared" si="5"/>
        <v>0</v>
      </c>
      <c r="G46" s="149"/>
      <c r="H46" s="149"/>
      <c r="I46" s="49"/>
    </row>
    <row r="47" spans="3:9" x14ac:dyDescent="0.45">
      <c r="C47" s="149">
        <f t="shared" si="6"/>
        <v>10</v>
      </c>
      <c r="D47" s="150">
        <f>Ventas!E14</f>
        <v>0</v>
      </c>
      <c r="E47" s="151">
        <f t="shared" si="4"/>
        <v>0</v>
      </c>
      <c r="F47" s="149">
        <f t="shared" si="5"/>
        <v>0</v>
      </c>
      <c r="G47" s="149"/>
      <c r="H47" s="149"/>
      <c r="I47" s="49"/>
    </row>
    <row r="48" spans="3:9" x14ac:dyDescent="0.45">
      <c r="C48" s="149"/>
      <c r="D48" s="150"/>
      <c r="E48" s="149"/>
      <c r="F48" s="154">
        <f>SUM(F38:F47)</f>
        <v>0</v>
      </c>
      <c r="G48" s="149"/>
      <c r="H48" s="149"/>
      <c r="I48" s="49"/>
    </row>
    <row r="49" spans="3:9" x14ac:dyDescent="0.45">
      <c r="C49" s="149"/>
      <c r="D49" s="149"/>
      <c r="E49" s="149"/>
      <c r="F49" s="149"/>
      <c r="G49" s="149"/>
      <c r="H49" s="149"/>
      <c r="I49" s="49"/>
    </row>
    <row r="50" spans="3:9" x14ac:dyDescent="0.45">
      <c r="C50" s="49"/>
      <c r="D50" s="50"/>
      <c r="E50" s="49"/>
      <c r="F50" s="49"/>
      <c r="G50" s="49"/>
      <c r="H50" s="49"/>
      <c r="I50" s="49"/>
    </row>
    <row r="51" spans="3:9" x14ac:dyDescent="0.45">
      <c r="C51" s="49"/>
      <c r="D51" s="50"/>
      <c r="E51" s="49"/>
      <c r="F51" s="49"/>
      <c r="G51" s="49"/>
      <c r="H51" s="49"/>
      <c r="I51" s="49"/>
    </row>
    <row r="52" spans="3:9" x14ac:dyDescent="0.45">
      <c r="C52" s="49"/>
      <c r="D52" s="50"/>
      <c r="E52" s="49"/>
      <c r="F52" s="49"/>
      <c r="G52" s="49"/>
      <c r="H52" s="49"/>
      <c r="I52" s="49"/>
    </row>
    <row r="53" spans="3:9" x14ac:dyDescent="0.45">
      <c r="C53" s="49"/>
      <c r="D53" s="49"/>
      <c r="E53" s="49"/>
      <c r="F53" s="49"/>
      <c r="G53" s="49"/>
      <c r="H53" s="49"/>
      <c r="I53" s="49"/>
    </row>
    <row r="54" spans="3:9" x14ac:dyDescent="0.45">
      <c r="C54" s="49"/>
      <c r="D54" s="49"/>
      <c r="E54" s="49"/>
      <c r="F54" s="49"/>
      <c r="G54" s="49"/>
      <c r="H54" s="49"/>
      <c r="I54" s="49"/>
    </row>
    <row r="55" spans="3:9" x14ac:dyDescent="0.45">
      <c r="G55" s="49"/>
      <c r="H55" s="49"/>
      <c r="I55" s="49"/>
    </row>
  </sheetData>
  <sheetProtection algorithmName="SHA-512" hashValue="tsLXGQ4SIl7LyrcCmLhbBXvF/yjnOaC+ae8TpSqYn/9WLVT+e3qG+1BT/DnSCVjzNzK6yIiWPdl4GnEuDJJ45Q==" saltValue="Xgdbfz8siOmd1V2OVKZcUg==" spinCount="100000" sheet="1" formatCells="0" formatColumns="0" formatRows="0"/>
  <mergeCells count="11">
    <mergeCell ref="C2:N2"/>
    <mergeCell ref="C28:E28"/>
    <mergeCell ref="C26:E26"/>
    <mergeCell ref="C27:E27"/>
    <mergeCell ref="C4:E5"/>
    <mergeCell ref="C13:I13"/>
    <mergeCell ref="F4:F5"/>
    <mergeCell ref="C11:D11"/>
    <mergeCell ref="C10:D10"/>
    <mergeCell ref="F10:G10"/>
    <mergeCell ref="E11:G11"/>
  </mergeCells>
  <conditionalFormatting sqref="E10:E11">
    <cfRule type="cellIs" dxfId="7" priority="5" operator="lessThan">
      <formula>0</formula>
    </cfRule>
  </conditionalFormatting>
  <conditionalFormatting sqref="E11 H11">
    <cfRule type="containsText" dxfId="6" priority="1" operator="containsText" text="Negocio No Viable">
      <formula>NOT(ISERROR(SEARCH("Negocio No Viable",E11)))</formula>
    </cfRule>
  </conditionalFormatting>
  <conditionalFormatting sqref="E11">
    <cfRule type="containsText" dxfId="5" priority="3" operator="containsText" text="NO_APLICA">
      <formula>NOT(ISERROR(SEARCH("NO_APLICA",E11)))</formula>
    </cfRule>
    <cfRule type="cellIs" dxfId="4" priority="7" operator="equal">
      <formula>$F$4</formula>
    </cfRule>
    <cfRule type="cellIs" dxfId="3" priority="8" operator="greaterThan">
      <formula>$F$4</formula>
    </cfRule>
    <cfRule type="cellIs" dxfId="2" priority="9" operator="lessThan">
      <formula>$F$4</formula>
    </cfRule>
  </conditionalFormatting>
  <conditionalFormatting sqref="H10">
    <cfRule type="containsText" dxfId="1" priority="2" operator="containsText" text="NO_APLICA">
      <formula>NOT(ISERROR(SEARCH("NO_APLICA",H10)))</formula>
    </cfRule>
    <cfRule type="cellIs" dxfId="0" priority="4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Menú</vt:lpstr>
      <vt:lpstr>Ventas</vt:lpstr>
      <vt:lpstr>Gastos</vt:lpstr>
      <vt:lpstr>Financiacion</vt:lpstr>
      <vt:lpstr>Balances</vt:lpstr>
      <vt:lpstr>Simulacion</vt:lpstr>
      <vt:lpstr>Menú!Área_de_impresión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DARIO MAURICIO REYES GIRALDO</dc:creator>
  <cp:lastModifiedBy>Darwin Steven Berrio Alvarez</cp:lastModifiedBy>
  <dcterms:created xsi:type="dcterms:W3CDTF">2013-07-30T17:19:59Z</dcterms:created>
  <dcterms:modified xsi:type="dcterms:W3CDTF">2023-06-14T17:57:21Z</dcterms:modified>
</cp:coreProperties>
</file>